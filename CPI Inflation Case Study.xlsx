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ajpu\OneDrive\Desktop\Coding Ninjas\CPI Inflation Case Study\"/>
    </mc:Choice>
  </mc:AlternateContent>
  <xr:revisionPtr revIDLastSave="0" documentId="13_ncr:1_{41FD5DD5-B670-4D31-B23E-EBBA40CE0A81}" xr6:coauthVersionLast="47" xr6:coauthVersionMax="47" xr10:uidLastSave="{00000000-0000-0000-0000-000000000000}"/>
  <bookViews>
    <workbookView xWindow="-110" yWindow="-110" windowWidth="19420" windowHeight="10300" tabRatio="722" xr2:uid="{2794A262-1B91-4BBA-8191-100AA12E09E0}"/>
  </bookViews>
  <sheets>
    <sheet name="All_India_Index_Upto_April23 (1" sheetId="1" r:id="rId1"/>
    <sheet name="1. Problem Statement" sheetId="14" r:id="rId2"/>
    <sheet name="2. Problem Statement" sheetId="15" r:id="rId3"/>
    <sheet name="3. Problem Statement" sheetId="16" r:id="rId4"/>
    <sheet name="4. Problem Statement" sheetId="13" r:id="rId5"/>
    <sheet name="5. Problem Statement" sheetId="12" r:id="rId6"/>
    <sheet name="Summarization" sheetId="18" r:id="rId7"/>
  </sheets>
  <definedNames>
    <definedName name="_xlnm._FilterDatabase" localSheetId="0" hidden="1">'All_India_Index_Upto_April23 (1'!$A$1:$AH$373</definedName>
  </definedNames>
  <calcPr calcId="191029"/>
  <pivotCaches>
    <pivotCache cacheId="0" r:id="rId8"/>
  </pivotCaches>
</workbook>
</file>

<file path=xl/calcChain.xml><?xml version="1.0" encoding="utf-8"?>
<calcChain xmlns="http://schemas.openxmlformats.org/spreadsheetml/2006/main">
  <c r="C39" i="13" l="1"/>
  <c r="D39" i="13" s="1"/>
  <c r="B39" i="13"/>
  <c r="C38" i="13"/>
  <c r="D38" i="13" s="1"/>
  <c r="B38" i="13"/>
  <c r="C37" i="13"/>
  <c r="D37" i="13" s="1"/>
  <c r="B37" i="13"/>
  <c r="C36" i="13"/>
  <c r="D36" i="13" s="1"/>
  <c r="B36" i="13"/>
  <c r="C35" i="13"/>
  <c r="B35" i="13"/>
  <c r="D35" i="13" s="1"/>
  <c r="N6" i="13"/>
  <c r="N7" i="13"/>
  <c r="N8" i="13"/>
  <c r="N9" i="13"/>
  <c r="N5" i="13"/>
  <c r="M9" i="13"/>
  <c r="M8" i="13"/>
  <c r="M7" i="13"/>
  <c r="M6" i="13"/>
  <c r="M5" i="13"/>
  <c r="L9" i="13"/>
  <c r="L8" i="13"/>
  <c r="L7" i="13"/>
  <c r="L6" i="13"/>
  <c r="L5" i="13"/>
  <c r="D28" i="13"/>
  <c r="D27" i="13"/>
  <c r="D26" i="13"/>
  <c r="D25" i="13"/>
  <c r="D24" i="13"/>
  <c r="D23" i="13"/>
  <c r="D22" i="13"/>
  <c r="D21" i="13"/>
  <c r="D20" i="13"/>
  <c r="D19" i="13"/>
  <c r="D18" i="13"/>
  <c r="D17" i="13"/>
  <c r="D16" i="13"/>
  <c r="D15" i="13"/>
  <c r="D14" i="13"/>
  <c r="D13" i="13"/>
  <c r="D12" i="13"/>
  <c r="D11" i="13"/>
  <c r="D10" i="13"/>
  <c r="D9" i="13"/>
  <c r="D8" i="13"/>
  <c r="D7" i="13"/>
  <c r="D6" i="13"/>
  <c r="D5" i="13"/>
  <c r="D40" i="16"/>
  <c r="D41" i="16"/>
  <c r="D42" i="16"/>
  <c r="D43" i="16"/>
  <c r="D44" i="16"/>
  <c r="D45" i="16"/>
  <c r="D46" i="16"/>
  <c r="D47" i="16"/>
  <c r="D48" i="16"/>
  <c r="D49" i="16"/>
  <c r="D50" i="16"/>
  <c r="D39" i="16"/>
  <c r="R9" i="16"/>
  <c r="R10" i="16"/>
  <c r="R11" i="16"/>
  <c r="R12" i="16"/>
  <c r="R13" i="16"/>
  <c r="R14" i="16"/>
  <c r="R15" i="16"/>
  <c r="R16" i="16"/>
  <c r="R17" i="16"/>
  <c r="R18" i="16"/>
  <c r="R19" i="16"/>
  <c r="R8" i="16"/>
  <c r="Q8" i="16"/>
  <c r="Q9" i="16"/>
  <c r="Q10" i="16"/>
  <c r="Q11" i="16"/>
  <c r="Q12" i="16"/>
  <c r="Q13" i="16"/>
  <c r="Q14" i="16"/>
  <c r="Q15" i="16"/>
  <c r="Q16" i="16"/>
  <c r="Q17" i="16"/>
  <c r="Q18" i="16"/>
  <c r="Q19" i="16"/>
  <c r="Q7" i="16"/>
  <c r="F10" i="15"/>
  <c r="F11" i="15"/>
  <c r="F12" i="15"/>
  <c r="F13" i="15"/>
  <c r="F14" i="15"/>
  <c r="F15" i="15"/>
  <c r="F9" i="15"/>
  <c r="L13" i="14"/>
  <c r="J14" i="14" s="1"/>
  <c r="C14" i="14" l="1"/>
  <c r="E14" i="14"/>
  <c r="D14" i="14"/>
  <c r="F14" i="14"/>
  <c r="B14" i="14"/>
  <c r="H14" i="14"/>
  <c r="I14" i="14"/>
  <c r="G14" i="14"/>
  <c r="K14" i="14"/>
  <c r="AF3" i="1" l="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2" i="1"/>
  <c r="B98" i="12" l="1"/>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8" i="12"/>
</calcChain>
</file>

<file path=xl/sharedStrings.xml><?xml version="1.0" encoding="utf-8"?>
<sst xmlns="http://schemas.openxmlformats.org/spreadsheetml/2006/main" count="1136" uniqueCount="150">
  <si>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</si>
  <si>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</si>
  <si>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</si>
  <si>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</si>
  <si>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</si>
  <si>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</si>
  <si>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</si>
  <si>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</si>
  <si>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</si>
  <si>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</si>
  <si>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</si>
  <si>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</si>
  <si>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</si>
  <si>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</si>
  <si>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</si>
  <si>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</si>
  <si>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</si>
  <si>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</si>
  <si>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</si>
  <si>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</si>
  <si>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</si>
  <si>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</si>
  <si>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</si>
  <si>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</si>
  <si>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</si>
  <si>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</si>
  <si>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</si>
  <si>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</si>
  <si>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</si>
  <si>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</si>
  <si>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</si>
  <si>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</si>
  <si>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</si>
  <si>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</si>
  <si>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</si>
  <si>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</si>
  <si>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</si>
  <si>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</si>
  <si>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</si>
  <si>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</si>
  <si>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</si>
  <si>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</si>
  <si>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</si>
  <si>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</si>
  <si>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Prepared meals, scks, sweets etc.</t>
  </si>
  <si>
    <t>Persol care and effects</t>
  </si>
  <si>
    <t>Grand Total</t>
  </si>
  <si>
    <t>Average of Transport and communication</t>
  </si>
  <si>
    <t>Average of Pan, tobacco and intoxicants</t>
  </si>
  <si>
    <t>Average of Education</t>
  </si>
  <si>
    <t>Average of Recreation and amusement</t>
  </si>
  <si>
    <t>Average of Fuel and light</t>
  </si>
  <si>
    <t>Average of Miscellaneous</t>
  </si>
  <si>
    <t>Average of General index</t>
  </si>
  <si>
    <t>Correlation</t>
  </si>
  <si>
    <t>% Contribution</t>
  </si>
  <si>
    <t>Years</t>
  </si>
  <si>
    <t>Total Food Basket</t>
  </si>
  <si>
    <r>
      <t>MoM</t>
    </r>
    <r>
      <rPr>
        <strike/>
        <sz val="11"/>
        <color theme="1"/>
        <rFont val="Calibri"/>
        <family val="2"/>
        <scheme val="minor"/>
      </rPr>
      <t>%</t>
    </r>
  </si>
  <si>
    <t xml:space="preserve">Categories </t>
  </si>
  <si>
    <t>Oils and Fats</t>
  </si>
  <si>
    <t>Absolut % change</t>
  </si>
  <si>
    <t>Year-Month</t>
  </si>
  <si>
    <t>2021-January</t>
  </si>
  <si>
    <t>2021-February</t>
  </si>
  <si>
    <t>2021-March</t>
  </si>
  <si>
    <t>2021-April</t>
  </si>
  <si>
    <t>2021-May</t>
  </si>
  <si>
    <t>2021-June</t>
  </si>
  <si>
    <t>2021-July</t>
  </si>
  <si>
    <t>2021-August</t>
  </si>
  <si>
    <t>2021-September</t>
  </si>
  <si>
    <t>2021-October</t>
  </si>
  <si>
    <t>2021-November</t>
  </si>
  <si>
    <t>2021-December</t>
  </si>
  <si>
    <t>2022-January</t>
  </si>
  <si>
    <t>2022-February</t>
  </si>
  <si>
    <t>2022-March</t>
  </si>
  <si>
    <t>2022-April</t>
  </si>
  <si>
    <t>2022-May</t>
  </si>
  <si>
    <t>2022-June</t>
  </si>
  <si>
    <t>2022-July</t>
  </si>
  <si>
    <t>2022-August</t>
  </si>
  <si>
    <t>2022-September</t>
  </si>
  <si>
    <t>2022-October</t>
  </si>
  <si>
    <t>2022-November</t>
  </si>
  <si>
    <t>2022-December</t>
  </si>
  <si>
    <t>2023-January</t>
  </si>
  <si>
    <t>2023-February</t>
  </si>
  <si>
    <t>2023-March</t>
  </si>
  <si>
    <t>2023-April</t>
  </si>
  <si>
    <t>2023-May</t>
  </si>
  <si>
    <t>MoM % Change</t>
  </si>
  <si>
    <t>Year-Months</t>
  </si>
  <si>
    <t>Category</t>
  </si>
  <si>
    <t>Pre-COVID Avg CPI</t>
  </si>
  <si>
    <t>Post-COVID Avg CPI</t>
  </si>
  <si>
    <t>% Change</t>
  </si>
  <si>
    <t>Food and beverage</t>
  </si>
  <si>
    <t>Food Bucket</t>
  </si>
  <si>
    <t>Clothing and Footwear bucket</t>
  </si>
  <si>
    <t>Average of Food Bucket</t>
  </si>
  <si>
    <t>Average of Clothing and Footwear bucket</t>
  </si>
  <si>
    <t>Total</t>
  </si>
  <si>
    <t xml:space="preserve"> Import Crude Oil Price (USD/Barrel)</t>
  </si>
  <si>
    <t>5. Investigate how major global economic events (like imported crude oil price fluctuations) have influenced India's inflation. This can include an analysis of imported goods and their price trends.</t>
  </si>
  <si>
    <t>For the purpose of this analysis, focus only on the imported oil price fluctuations for years 2021 to 2023 (Month-on-month)</t>
  </si>
  <si>
    <t>Identify trends in oil price change with change in inflation prices of all the categories and identify category whose inflation prices strongly changes with fluctuations in imported oil price (Hint: you can use =correl function)</t>
  </si>
  <si>
    <t>The month which has highest MoM % change is march 2022</t>
  </si>
  <si>
    <t>The month which has lowest MoM % change is december 2022</t>
  </si>
  <si>
    <t>Prepared meals, snacks, sweets etc.</t>
  </si>
  <si>
    <t>Personal care and effects</t>
  </si>
  <si>
    <t>Categories</t>
  </si>
  <si>
    <t>4. Investigate how the onset and progression of the COVID-19 pandemic affected inflation rates in India. Analyze the Impact of key pandemic milestone (first lockdown) on the CPI inflation %, specially focus on categories like healthcare, food, and essential services.</t>
  </si>
  <si>
    <t>Hint: You can consider Mar'20 as the onset of covid, and can compare the inflation trend before and after Mar'20 to see if there is a change in inflation % before and after.</t>
  </si>
  <si>
    <t>Housing &amp; Household goods and services bucket</t>
  </si>
  <si>
    <t>Health &amp; Personal care and effects bucket</t>
  </si>
  <si>
    <t>Which broader category has the highest contribution towards towards CPI calculation</t>
  </si>
  <si>
    <t>Contribution is calculated by evaluating the underlying index values for broader category and should add to 100% when contribution from different broader categories are added.</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</si>
  <si>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</si>
  <si>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Average of Health &amp; Personal care and effects bucket</t>
  </si>
  <si>
    <t>Average of Housing &amp; Household goods and services bucket</t>
  </si>
  <si>
    <t>The food bucket has the highest contribution towards CPI calculation</t>
  </si>
  <si>
    <t>2. A trend of Y-o-Y increase in CPI (rural + urban) inflation starting 2017 for the entire basket of products combined.</t>
  </si>
  <si>
    <t>Create a graph depicting the growth rate Y-o-Y and identify the year with highest inflation rate</t>
  </si>
  <si>
    <t>Highlight the reason why the year has the highest inflation (based on research).</t>
  </si>
  <si>
    <t>YoY inflation %</t>
  </si>
  <si>
    <t>The year which has highest inflation is 2022</t>
  </si>
  <si>
    <t>3. With India's retail inflation reaching a 3-month high of 5.55% in November 2023, largely due to a sharp rise in food prices. Analyze the following for 12 months ending May'23</t>
  </si>
  <si>
    <t>Investigate trends in the prices of broader food bucket category and evaluate month-on-month changes. Highlight month with highest and lowest food inflation</t>
  </si>
  <si>
    <t>Identify the absolute changes in inflation over the same 12 months period and identify the biggest individual category contributor (only within broader food category) towards inflation</t>
  </si>
  <si>
    <t>The month with highest food inflation is June 2022</t>
  </si>
  <si>
    <t>The month with lowest food inflation is february 2023</t>
  </si>
  <si>
    <t>May 20237</t>
  </si>
  <si>
    <t>The biggest individual category contributor towards inflation is "Spices"</t>
  </si>
  <si>
    <t>The category which has highest % change is Transport and communication</t>
  </si>
  <si>
    <t>1. Contribution of broader categories:</t>
  </si>
  <si>
    <t>2.YoY inflation %(2017-2023):</t>
  </si>
  <si>
    <t>3. Food Inflation MoM%:</t>
  </si>
  <si>
    <t>Absolut % change within food bucket:</t>
  </si>
  <si>
    <t>4. Pre &amp; Post Covid Comparison:</t>
  </si>
  <si>
    <t>% Change in essential categories:</t>
  </si>
  <si>
    <t>5.Correlation with Global oil prices:</t>
  </si>
  <si>
    <r>
      <rPr>
        <b/>
        <sz val="14"/>
        <color theme="1"/>
        <rFont val="Calibri"/>
        <family val="2"/>
        <scheme val="minor"/>
      </rPr>
      <t xml:space="preserve">Insight: </t>
    </r>
    <r>
      <rPr>
        <sz val="14"/>
        <color theme="1"/>
        <rFont val="Calibri"/>
        <family val="2"/>
        <scheme val="minor"/>
      </rPr>
      <t xml:space="preserve">The food bucket has the highest contribution towards CPI calculation.                                                                                                 </t>
    </r>
    <r>
      <rPr>
        <b/>
        <sz val="14"/>
        <color theme="1"/>
        <rFont val="Calibri"/>
        <family val="2"/>
        <scheme val="minor"/>
      </rPr>
      <t>Reason:</t>
    </r>
    <r>
      <rPr>
        <sz val="14"/>
        <color theme="1"/>
        <rFont val="Calibri"/>
        <family val="2"/>
        <scheme val="minor"/>
      </rPr>
      <t xml:space="preserve"> The food bucket contributes the most to CPI, showing that household spending on food is the largest driver of overall inflation in India.                                                                                                                  </t>
    </r>
    <r>
      <rPr>
        <b/>
        <sz val="14"/>
        <color theme="1"/>
        <rFont val="Calibri"/>
        <family val="2"/>
        <scheme val="minor"/>
      </rPr>
      <t>Suggestion:</t>
    </r>
    <r>
      <rPr>
        <sz val="14"/>
        <color theme="1"/>
        <rFont val="Calibri"/>
        <family val="2"/>
        <scheme val="minor"/>
      </rPr>
      <t xml:space="preserve"> Control food prices by improving storage and transport, and supporting farmers. This will help reduce overall inflation since food has the biggest impact on CPI.</t>
    </r>
    <r>
      <rPr>
        <sz val="11"/>
        <color theme="1"/>
        <rFont val="Calibri"/>
        <family val="2"/>
        <scheme val="minor"/>
      </rPr>
      <t xml:space="preserve">                                                  </t>
    </r>
  </si>
  <si>
    <r>
      <rPr>
        <b/>
        <sz val="14"/>
        <color theme="1"/>
        <rFont val="Calibri"/>
        <family val="2"/>
        <scheme val="minor"/>
      </rPr>
      <t>Insight:</t>
    </r>
    <r>
      <rPr>
        <sz val="14"/>
        <color theme="1"/>
        <rFont val="Calibri"/>
        <family val="2"/>
        <scheme val="minor"/>
      </rPr>
      <t xml:space="preserve"> The year which has highest inflation is 2022.                                                      </t>
    </r>
    <r>
      <rPr>
        <b/>
        <sz val="14"/>
        <color theme="1"/>
        <rFont val="Calibri"/>
        <family val="2"/>
        <scheme val="minor"/>
      </rPr>
      <t>Reason:</t>
    </r>
    <r>
      <rPr>
        <sz val="14"/>
        <color theme="1"/>
        <rFont val="Calibri"/>
        <family val="2"/>
        <scheme val="minor"/>
      </rPr>
      <t xml:space="preserve"> India experienced the highest inflation in 2022, likely due to global economic pressures, rising commodity prices, and supply chain disruptions.                                                                                                                           </t>
    </r>
    <r>
      <rPr>
        <b/>
        <sz val="14"/>
        <color theme="1"/>
        <rFont val="Calibri"/>
        <family val="2"/>
        <scheme val="minor"/>
      </rPr>
      <t>Suggestion:</t>
    </r>
    <r>
      <rPr>
        <sz val="14"/>
        <color theme="1"/>
        <rFont val="Calibri"/>
        <family val="2"/>
        <scheme val="minor"/>
      </rPr>
      <t xml:space="preserve"> Reduce high inflation by boosting local production and cutting import costs. Stronger supply chains can protect the economy during global price hikes.</t>
    </r>
  </si>
  <si>
    <r>
      <rPr>
        <b/>
        <sz val="12"/>
        <color theme="1"/>
        <rFont val="Calibri"/>
        <family val="2"/>
        <scheme val="minor"/>
      </rPr>
      <t xml:space="preserve">Insight: </t>
    </r>
    <r>
      <rPr>
        <sz val="12"/>
        <color theme="1"/>
        <rFont val="Calibri"/>
        <family val="2"/>
        <scheme val="minor"/>
      </rPr>
      <t xml:space="preserve">The month with highest food inflation is June 2022 &amp; The month with lowest food inflation is february 2023, and The biggest individual category contributor towards inflation is "Spices".                                                            </t>
    </r>
    <r>
      <rPr>
        <b/>
        <sz val="12"/>
        <color theme="1"/>
        <rFont val="Calibri"/>
        <family val="2"/>
        <scheme val="minor"/>
      </rPr>
      <t xml:space="preserve">Reason: </t>
    </r>
    <r>
      <rPr>
        <sz val="12"/>
        <color theme="1"/>
        <rFont val="Calibri"/>
        <family val="2"/>
        <scheme val="minor"/>
      </rPr>
      <t xml:space="preserve">Spice prices rose sharply in June 2022 due to seasonal supply shortages and transport costs, while better harvest and supply in February 2023 lowered food inflation.                                                                                                                              </t>
    </r>
    <r>
      <rPr>
        <b/>
        <sz val="12"/>
        <color theme="1"/>
        <rFont val="Calibri"/>
        <family val="2"/>
        <scheme val="minor"/>
      </rPr>
      <t>Suggestion:</t>
    </r>
    <r>
      <rPr>
        <sz val="12"/>
        <color theme="1"/>
        <rFont val="Calibri"/>
        <family val="2"/>
        <scheme val="minor"/>
      </rPr>
      <t xml:space="preserve"> Increase spice farming, improve storage, and cut extra costs from middlemen. This will help keep food prices stable and control sudden inflation jumps.</t>
    </r>
  </si>
  <si>
    <r>
      <rPr>
        <b/>
        <sz val="12"/>
        <color theme="1"/>
        <rFont val="Calibri"/>
        <family val="2"/>
        <scheme val="minor"/>
      </rPr>
      <t>Insight:</t>
    </r>
    <r>
      <rPr>
        <sz val="12"/>
        <color theme="1"/>
        <rFont val="Calibri"/>
        <family val="2"/>
        <scheme val="minor"/>
      </rPr>
      <t xml:space="preserve"> Inflation in essential categories increased after COVID-19 &amp; The category which has highest % change is Transport and communication.                                                                                      </t>
    </r>
    <r>
      <rPr>
        <b/>
        <sz val="12"/>
        <color theme="1"/>
        <rFont val="Calibri"/>
        <family val="2"/>
        <scheme val="minor"/>
      </rPr>
      <t>Reason:</t>
    </r>
    <r>
      <rPr>
        <sz val="12"/>
        <color theme="1"/>
        <rFont val="Calibri"/>
        <family val="2"/>
        <scheme val="minor"/>
      </rPr>
      <t xml:space="preserve"> Inflation in essential categories increased after COVID-19, with transport and communication showing the largest percentage rise due to mobility restrictions and higher fuel costs.                                                                       </t>
    </r>
    <r>
      <rPr>
        <b/>
        <sz val="12"/>
        <color theme="1"/>
        <rFont val="Calibri"/>
        <family val="2"/>
        <scheme val="minor"/>
      </rPr>
      <t xml:space="preserve">Suggestion: </t>
    </r>
    <r>
      <rPr>
        <sz val="12"/>
        <color theme="1"/>
        <rFont val="Calibri"/>
        <family val="2"/>
        <scheme val="minor"/>
      </rPr>
      <t>Improve healthcare, transport, and online services so inflation does not rise sharply in essential goods during future crises like pandemics.</t>
    </r>
  </si>
  <si>
    <r>
      <rPr>
        <b/>
        <sz val="14"/>
        <color theme="1"/>
        <rFont val="Calibri"/>
        <family val="2"/>
        <scheme val="minor"/>
      </rPr>
      <t>Insight:</t>
    </r>
    <r>
      <rPr>
        <sz val="14"/>
        <color theme="1"/>
        <rFont val="Calibri"/>
        <family val="2"/>
        <scheme val="minor"/>
      </rPr>
      <t xml:space="preserve"> The category which is highly corelated with global oil prices is Oils and fats followed by transport and communication and the category which is least corelated is egg.                                                                                                                                                        </t>
    </r>
    <r>
      <rPr>
        <b/>
        <sz val="14"/>
        <color theme="1"/>
        <rFont val="Calibri"/>
        <family val="2"/>
        <scheme val="minor"/>
      </rPr>
      <t>Reason:</t>
    </r>
    <r>
      <rPr>
        <sz val="14"/>
        <color theme="1"/>
        <rFont val="Calibri"/>
        <family val="2"/>
        <scheme val="minor"/>
      </rPr>
      <t xml:space="preserve"> Oils, fats, and transport inflation rise with global oil prices due to high import dependence, while eggs remain stable as they rely mainly on domestic production.                                                                                                                                               </t>
    </r>
    <r>
      <rPr>
        <b/>
        <sz val="14"/>
        <color theme="1"/>
        <rFont val="Calibri"/>
        <family val="2"/>
        <scheme val="minor"/>
      </rPr>
      <t>Suggestion:</t>
    </r>
    <r>
      <rPr>
        <sz val="14"/>
        <color theme="1"/>
        <rFont val="Calibri"/>
        <family val="2"/>
        <scheme val="minor"/>
      </rPr>
      <t xml:space="preserve"> Use more renewable energy and fuel-efficient transport. This will reduce dependence on global oil prices and help control inflation in oils and transport.</t>
    </r>
  </si>
  <si>
    <t xml:space="preserve"> The category which is highly corelated with global oil prices is Oils and fats followed by transport and communication and the category which is least corelated is egg.      </t>
  </si>
  <si>
    <t>Overall, analysis shows that food, fuel, and global factors play the biggest role in driving India’s CPI inflation.             Recommendations: Focus on strengthening supply chains, boosting domestic production, and reducing import dependence to keep inflation under control in the long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</si>
</sst>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trike/>
      <sz val="11"/>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8"/>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5"/>
        <bgColor indexed="64"/>
      </patternFill>
    </fill>
    <fill>
      <patternFill patternType="solid">
        <fgColor theme="0"/>
        <bgColor indexed="64"/>
      </patternFill>
    </fill>
    <fill>
      <patternFill patternType="solid">
        <fgColor theme="9" tint="0.39997558519241921"/>
        <bgColor theme="4" tint="0.79998168889431442"/>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6"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8" borderId="0" xfId="0" applyFill="1"/>
    <xf numFmtId="2" fontId="0" fillId="33" borderId="0" xfId="0" applyNumberFormat="1" applyFill="1"/>
    <xf numFmtId="0" fontId="0" fillId="39" borderId="0" xfId="0" applyFill="1"/>
    <xf numFmtId="2" fontId="0" fillId="39" borderId="0" xfId="0" applyNumberFormat="1" applyFill="1"/>
    <xf numFmtId="0" fontId="0" fillId="0" borderId="11" xfId="0" applyBorder="1"/>
    <xf numFmtId="0" fontId="0" fillId="40" borderId="0" xfId="0" applyFill="1"/>
    <xf numFmtId="0" fontId="0" fillId="41" borderId="0" xfId="0" applyFill="1"/>
    <xf numFmtId="0" fontId="0" fillId="42" borderId="0" xfId="0" applyFill="1"/>
    <xf numFmtId="0" fontId="0" fillId="43" borderId="0" xfId="0" applyFill="1"/>
    <xf numFmtId="0" fontId="16" fillId="44" borderId="10" xfId="0" applyFont="1" applyFill="1" applyBorder="1"/>
    <xf numFmtId="0" fontId="16" fillId="44" borderId="0" xfId="0" applyFont="1" applyFill="1"/>
    <xf numFmtId="164" fontId="0" fillId="0" borderId="0" xfId="0" applyNumberFormat="1"/>
    <xf numFmtId="0" fontId="0" fillId="0" borderId="0" xfId="0" applyAlignment="1">
      <alignment horizontal="center" vertical="top"/>
    </xf>
    <xf numFmtId="0" fontId="0" fillId="0" borderId="0" xfId="0" applyAlignment="1">
      <alignment horizontal="left" vertical="top"/>
    </xf>
    <xf numFmtId="0" fontId="20" fillId="0" borderId="0" xfId="0" applyFont="1"/>
    <xf numFmtId="0" fontId="20" fillId="45" borderId="0" xfId="0" applyFont="1" applyFill="1" applyAlignment="1">
      <alignment vertical="center"/>
    </xf>
    <xf numFmtId="0" fontId="20" fillId="45" borderId="0" xfId="0" applyFont="1" applyFill="1"/>
    <xf numFmtId="0" fontId="20" fillId="0" borderId="0" xfId="0" applyFont="1" applyAlignment="1">
      <alignment horizontal="left" vertical="center"/>
    </xf>
    <xf numFmtId="0" fontId="20" fillId="35" borderId="0" xfId="0" applyFont="1" applyFill="1" applyAlignment="1">
      <alignment horizontal="left" vertical="center"/>
    </xf>
    <xf numFmtId="0" fontId="0" fillId="46" borderId="0" xfId="0" applyFill="1"/>
    <xf numFmtId="164" fontId="0" fillId="33" borderId="0" xfId="0" applyNumberFormat="1" applyFill="1"/>
    <xf numFmtId="0" fontId="20" fillId="39" borderId="0" xfId="0" applyFont="1" applyFill="1" applyAlignment="1">
      <alignment vertical="center"/>
    </xf>
    <xf numFmtId="0" fontId="20" fillId="39" borderId="0" xfId="0" applyFont="1" applyFill="1"/>
    <xf numFmtId="17" fontId="0" fillId="41" borderId="0" xfId="0" applyNumberFormat="1" applyFill="1"/>
    <xf numFmtId="2" fontId="0" fillId="37" borderId="0" xfId="0" applyNumberFormat="1" applyFill="1"/>
    <xf numFmtId="0" fontId="19" fillId="33" borderId="0" xfId="0" applyFont="1" applyFill="1" applyAlignment="1">
      <alignment vertical="center"/>
    </xf>
    <xf numFmtId="0" fontId="19" fillId="33" borderId="0" xfId="0" applyFont="1" applyFill="1"/>
    <xf numFmtId="0" fontId="21" fillId="37" borderId="0" xfId="0" applyFont="1" applyFill="1"/>
    <xf numFmtId="0" fontId="16" fillId="35" borderId="0" xfId="0" applyFont="1" applyFill="1"/>
    <xf numFmtId="0" fontId="21" fillId="0" borderId="0" xfId="0" applyFont="1"/>
    <xf numFmtId="2" fontId="20" fillId="0" borderId="0" xfId="0" applyNumberFormat="1" applyFont="1"/>
    <xf numFmtId="2" fontId="20" fillId="33" borderId="0" xfId="0" applyNumberFormat="1" applyFont="1" applyFill="1"/>
    <xf numFmtId="0" fontId="23" fillId="0" borderId="0" xfId="0" applyFont="1"/>
    <xf numFmtId="0" fontId="0" fillId="33" borderId="0" xfId="0" applyFill="1" applyAlignment="1">
      <alignment horizontal="center" vertical="top"/>
    </xf>
    <xf numFmtId="0" fontId="0" fillId="33" borderId="0" xfId="0" applyFill="1" applyAlignment="1">
      <alignment horizontal="center"/>
    </xf>
    <xf numFmtId="0" fontId="0" fillId="37" borderId="0" xfId="0" applyFill="1" applyAlignment="1">
      <alignment horizontal="center"/>
    </xf>
    <xf numFmtId="0" fontId="0" fillId="37" borderId="0" xfId="0" applyFill="1" applyAlignment="1">
      <alignment horizontal="left" vertical="top" wrapText="1"/>
    </xf>
    <xf numFmtId="0" fontId="20" fillId="33" borderId="0" xfId="0" applyFont="1" applyFill="1" applyAlignment="1">
      <alignment horizontal="center" vertical="center" wrapText="1"/>
    </xf>
    <xf numFmtId="0" fontId="0" fillId="48" borderId="0" xfId="0" applyFill="1" applyAlignment="1">
      <alignment horizontal="left" vertical="top" wrapText="1"/>
    </xf>
    <xf numFmtId="0" fontId="0" fillId="40" borderId="0" xfId="0" applyFill="1" applyAlignment="1">
      <alignment horizontal="left" vertical="top" wrapText="1"/>
    </xf>
    <xf numFmtId="0" fontId="19" fillId="47" borderId="0" xfId="0" applyFont="1" applyFill="1" applyAlignment="1">
      <alignment horizontal="left" vertical="top" wrapText="1"/>
    </xf>
    <xf numFmtId="0" fontId="0" fillId="47" borderId="0" xfId="0" applyFill="1" applyAlignment="1">
      <alignment horizontal="left" vertical="top" wrapText="1"/>
    </xf>
    <xf numFmtId="0" fontId="20" fillId="39" borderId="0" xfId="0" applyFont="1" applyFill="1" applyAlignment="1">
      <alignment horizontal="left" vertical="top" wrapText="1"/>
    </xf>
    <xf numFmtId="0" fontId="0" fillId="39" borderId="0" xfId="0" applyFill="1" applyAlignment="1">
      <alignment horizontal="left" vertical="top" wrapText="1"/>
    </xf>
    <xf numFmtId="0" fontId="20" fillId="48" borderId="0" xfId="0" applyFont="1" applyFill="1" applyAlignment="1">
      <alignment horizontal="left" vertical="top" wrapText="1"/>
    </xf>
    <xf numFmtId="0" fontId="19" fillId="38" borderId="0" xfId="0" applyFont="1" applyFill="1" applyAlignment="1">
      <alignment horizontal="left" vertical="top" wrapText="1"/>
    </xf>
    <xf numFmtId="0" fontId="0" fillId="38" borderId="0" xfId="0" applyFill="1" applyAlignment="1">
      <alignment horizontal="left" vertical="top" wrapText="1"/>
    </xf>
    <xf numFmtId="0" fontId="19" fillId="41" borderId="0" xfId="0" applyFont="1" applyFill="1" applyAlignment="1">
      <alignment horizontal="left" vertical="top" wrapText="1"/>
    </xf>
    <xf numFmtId="0" fontId="0" fillId="41" borderId="0" xfId="0"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baseline="0">
                <a:solidFill>
                  <a:sysClr val="windowText" lastClr="000000">
                    <a:lumMod val="75000"/>
                    <a:lumOff val="25000"/>
                  </a:sysClr>
                </a:solidFill>
              </a:rPr>
              <a:t>Contribution of broader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220012190419339E-2"/>
          <c:y val="0.18673032551592783"/>
          <c:w val="0.54068875869189337"/>
          <c:h val="0.69579133737322185"/>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075-4090-8F15-73F0E944BA1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B4-4B0D-869A-CE0BDF78BB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B4-4B0D-869A-CE0BDF78BB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AB4-4B0D-869A-CE0BDF78BB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AB4-4B0D-869A-CE0BDF78BB68}"/>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AB4-4B0D-869A-CE0BDF78BB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AB4-4B0D-869A-CE0BDF78BB6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9AB4-4B0D-869A-CE0BDF78BB6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9AB4-4B0D-869A-CE0BDF78BB6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9AB4-4B0D-869A-CE0BDF78BB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Problem Statement'!$B$12:$K$12</c:f>
              <c:strCache>
                <c:ptCount val="10"/>
                <c:pt idx="0">
                  <c:v>Average of Food Bucket</c:v>
                </c:pt>
                <c:pt idx="1">
                  <c:v>Average of Pan, tobacco and intoxicants</c:v>
                </c:pt>
                <c:pt idx="2">
                  <c:v>Average of Clothing and Footwear bucket</c:v>
                </c:pt>
                <c:pt idx="3">
                  <c:v>Average of Fuel and light</c:v>
                </c:pt>
                <c:pt idx="4">
                  <c:v>Average of Housing &amp; Household goods and services bucket</c:v>
                </c:pt>
                <c:pt idx="5">
                  <c:v>Average of Transport and communication</c:v>
                </c:pt>
                <c:pt idx="6">
                  <c:v>Average of Recreation and amusement</c:v>
                </c:pt>
                <c:pt idx="7">
                  <c:v>Average of Education</c:v>
                </c:pt>
                <c:pt idx="8">
                  <c:v>Average of Health &amp; Personal care and effects bucket</c:v>
                </c:pt>
                <c:pt idx="9">
                  <c:v>Average of Miscellaneous</c:v>
                </c:pt>
              </c:strCache>
            </c:strRef>
          </c:cat>
          <c:val>
            <c:numRef>
              <c:f>'1. Problem Statement'!$B$14:$K$14</c:f>
              <c:numCache>
                <c:formatCode>0.0</c:formatCode>
                <c:ptCount val="10"/>
                <c:pt idx="0">
                  <c:v>49.563853557923679</c:v>
                </c:pt>
                <c:pt idx="1">
                  <c:v>4.3184943279477483</c:v>
                </c:pt>
                <c:pt idx="2">
                  <c:v>11.885527672739773</c:v>
                </c:pt>
                <c:pt idx="3">
                  <c:v>3.9274664833276041</c:v>
                </c:pt>
                <c:pt idx="4">
                  <c:v>7.5369542798212423</c:v>
                </c:pt>
                <c:pt idx="5">
                  <c:v>3.5407356479889995</c:v>
                </c:pt>
                <c:pt idx="6">
                  <c:v>3.678239944998281</c:v>
                </c:pt>
                <c:pt idx="7">
                  <c:v>3.805001718803712</c:v>
                </c:pt>
                <c:pt idx="8">
                  <c:v>7.9688037126160181</c:v>
                </c:pt>
                <c:pt idx="9">
                  <c:v>3.7749226538329315</c:v>
                </c:pt>
              </c:numCache>
            </c:numRef>
          </c:val>
          <c:extLst>
            <c:ext xmlns:c16="http://schemas.microsoft.com/office/drawing/2014/chart" uri="{C3380CC4-5D6E-409C-BE32-E72D297353CC}">
              <c16:uniqueId val="{00000000-3075-4090-8F15-73F0E944BA1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baseline="0">
                <a:solidFill>
                  <a:sysClr val="windowText" lastClr="000000">
                    <a:lumMod val="75000"/>
                    <a:lumOff val="25000"/>
                  </a:sysClr>
                </a:solidFill>
              </a:rPr>
              <a:t>YoY inflation %(2017-2023)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'2. Problem Statement'!$F$7</c:f>
              <c:strCache>
                <c:ptCount val="1"/>
                <c:pt idx="0">
                  <c:v>YoY inflation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'2. Problem Statement'!$D$8:$D$15</c:f>
              <c:numCache>
                <c:formatCode>General</c:formatCode>
                <c:ptCount val="8"/>
                <c:pt idx="0">
                  <c:v>2016</c:v>
                </c:pt>
                <c:pt idx="1">
                  <c:v>2017</c:v>
                </c:pt>
                <c:pt idx="2">
                  <c:v>2018</c:v>
                </c:pt>
                <c:pt idx="3">
                  <c:v>2019</c:v>
                </c:pt>
                <c:pt idx="4">
                  <c:v>2020</c:v>
                </c:pt>
                <c:pt idx="5">
                  <c:v>2021</c:v>
                </c:pt>
                <c:pt idx="6">
                  <c:v>2022</c:v>
                </c:pt>
                <c:pt idx="7">
                  <c:v>2023</c:v>
                </c:pt>
              </c:numCache>
            </c:numRef>
          </c:cat>
          <c:val>
            <c:numRef>
              <c:f>'2. Problem Statement'!$F$8:$F$15</c:f>
              <c:numCache>
                <c:formatCode>0.00</c:formatCode>
                <c:ptCount val="8"/>
                <c:pt idx="1">
                  <c:v>3.32817337461299</c:v>
                </c:pt>
                <c:pt idx="2">
                  <c:v>3.9513108614232477</c:v>
                </c:pt>
                <c:pt idx="3">
                  <c:v>3.8961038961039161</c:v>
                </c:pt>
                <c:pt idx="4">
                  <c:v>5.8328079024800106</c:v>
                </c:pt>
                <c:pt idx="5">
                  <c:v>5.8107148708426486</c:v>
                </c:pt>
                <c:pt idx="6">
                  <c:v>6.621935483870967</c:v>
                </c:pt>
                <c:pt idx="7">
                  <c:v>3.1774615161196631</c:v>
                </c:pt>
              </c:numCache>
            </c:numRef>
          </c:val>
          <c:smooth val="0"/>
          <c:extLst>
            <c:ext xmlns:c16="http://schemas.microsoft.com/office/drawing/2014/chart" uri="{C3380CC4-5D6E-409C-BE32-E72D297353CC}">
              <c16:uniqueId val="{00000000-C723-4318-A531-54E6E5586F1F}"/>
            </c:ext>
          </c:extLst>
        </c:ser>
        <c:dLbls>
          <c:dLblPos val="ctr"/>
          <c:showLegendKey val="0"/>
          <c:showVal val="1"/>
          <c:showCatName val="0"/>
          <c:showSerName val="0"/>
          <c:showPercent val="0"/>
          <c:showBubbleSize val="0"/>
        </c:dLbls>
        <c:marker val="1"/>
        <c:smooth val="0"/>
        <c:axId val="776157280"/>
        <c:axId val="776168800"/>
      </c:lineChart>
      <c:catAx>
        <c:axId val="77615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6168800"/>
        <c:crosses val="autoZero"/>
        <c:auto val="1"/>
        <c:lblAlgn val="ctr"/>
        <c:lblOffset val="100"/>
        <c:noMultiLvlLbl val="0"/>
      </c:catAx>
      <c:valAx>
        <c:axId val="776168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761572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Food Inflation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'3. Problem Statement'!$R$6:$R$7</c:f>
              <c:strCache>
                <c:ptCount val="2"/>
                <c:pt idx="0">
                  <c:v>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Problem Statement'!$C$8:$C$19</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'3. Problem Statement'!$R$8:$R$19</c:f>
              <c:numCache>
                <c:formatCode>0.00</c:formatCode>
                <c:ptCount val="12"/>
                <c:pt idx="0">
                  <c:v>1.0272901871454425</c:v>
                </c:pt>
                <c:pt idx="1">
                  <c:v>0.19452672531943327</c:v>
                </c:pt>
                <c:pt idx="2">
                  <c:v>0.12796187618585006</c:v>
                </c:pt>
                <c:pt idx="3">
                  <c:v>0.51560021152829516</c:v>
                </c:pt>
                <c:pt idx="4">
                  <c:v>0.71901442413082706</c:v>
                </c:pt>
                <c:pt idx="5">
                  <c:v>-2.1764680276851682E-2</c:v>
                </c:pt>
                <c:pt idx="6">
                  <c:v>-0.58342041100662179</c:v>
                </c:pt>
                <c:pt idx="7">
                  <c:v>0.40728737847069707</c:v>
                </c:pt>
                <c:pt idx="8">
                  <c:v>-0.59318707201117182</c:v>
                </c:pt>
                <c:pt idx="9">
                  <c:v>4.3876968978992913E-3</c:v>
                </c:pt>
                <c:pt idx="10">
                  <c:v>0.456300456300479</c:v>
                </c:pt>
                <c:pt idx="11">
                  <c:v>0.75559049615652807</c:v>
                </c:pt>
              </c:numCache>
            </c:numRef>
          </c:val>
          <c:extLst>
            <c:ext xmlns:c16="http://schemas.microsoft.com/office/drawing/2014/chart" uri="{C3380CC4-5D6E-409C-BE32-E72D297353CC}">
              <c16:uniqueId val="{00000000-F033-45B4-B430-AC0596EC1E32}"/>
            </c:ext>
          </c:extLst>
        </c:ser>
        <c:dLbls>
          <c:dLblPos val="outEnd"/>
          <c:showLegendKey val="0"/>
          <c:showVal val="1"/>
          <c:showCatName val="0"/>
          <c:showSerName val="0"/>
          <c:showPercent val="0"/>
          <c:showBubbleSize val="0"/>
        </c:dLbls>
        <c:gapWidth val="100"/>
        <c:overlap val="-24"/>
        <c:axId val="776210080"/>
        <c:axId val="776208160"/>
      </c:barChart>
      <c:catAx>
        <c:axId val="776210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208160"/>
        <c:crosses val="autoZero"/>
        <c:auto val="1"/>
        <c:lblAlgn val="ctr"/>
        <c:lblOffset val="100"/>
        <c:noMultiLvlLbl val="0"/>
      </c:catAx>
      <c:valAx>
        <c:axId val="77620816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210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kern="1200" cap="none" baseline="0">
                <a:solidFill>
                  <a:sysClr val="window" lastClr="FFFFFF">
                    <a:lumMod val="85000"/>
                  </a:sysClr>
                </a:solidFill>
              </a:rPr>
              <a:t>Absolut % change within food bucket</a:t>
            </a:r>
          </a:p>
        </c:rich>
      </c:tx>
      <c:layout>
        <c:manualLayout>
          <c:xMode val="edge"/>
          <c:yMode val="edge"/>
          <c:x val="0.30351014615374117"/>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'3. Problem Statement'!$D$38</c:f>
              <c:strCache>
                <c:ptCount val="1"/>
                <c:pt idx="0">
                  <c:v>Absolut % change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 Problem Statement'!$A$39:$A$50</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strCache>
            </c:strRef>
          </c:cat>
          <c:val>
            <c:numRef>
              <c:f>'3. Problem Statement'!$D$39:$D$50</c:f>
              <c:numCache>
                <c:formatCode>0.00</c:formatCode>
                <c:ptCount val="12"/>
                <c:pt idx="0">
                  <c:v>12.064516129032251</c:v>
                </c:pt>
                <c:pt idx="1">
                  <c:v>-2.3245214220601613</c:v>
                </c:pt>
                <c:pt idx="2">
                  <c:v>1.4051522248243427</c:v>
                </c:pt>
                <c:pt idx="3">
                  <c:v>8.2629674306393177</c:v>
                </c:pt>
                <c:pt idx="4">
                  <c:v>-15.380786460925835</c:v>
                </c:pt>
                <c:pt idx="5">
                  <c:v>1.4731879787860933</c:v>
                </c:pt>
                <c:pt idx="6">
                  <c:v>-11.684037301151953</c:v>
                </c:pt>
                <c:pt idx="7">
                  <c:v>6.8776628119293877</c:v>
                </c:pt>
                <c:pt idx="8">
                  <c:v>2.3352793994995804</c:v>
                </c:pt>
                <c:pt idx="9">
                  <c:v>16.515232495991452</c:v>
                </c:pt>
                <c:pt idx="10">
                  <c:v>3.2757593805836809</c:v>
                </c:pt>
                <c:pt idx="11">
                  <c:v>5.6008700380641558</c:v>
                </c:pt>
              </c:numCache>
            </c:numRef>
          </c:val>
          <c:extLst>
            <c:ext xmlns:c16="http://schemas.microsoft.com/office/drawing/2014/chart" uri="{C3380CC4-5D6E-409C-BE32-E72D297353CC}">
              <c16:uniqueId val="{00000000-C69B-4397-8145-437FD8A35928}"/>
            </c:ext>
          </c:extLst>
        </c:ser>
        <c:dLbls>
          <c:dLblPos val="outEnd"/>
          <c:showLegendKey val="0"/>
          <c:showVal val="1"/>
          <c:showCatName val="0"/>
          <c:showSerName val="0"/>
          <c:showPercent val="0"/>
          <c:showBubbleSize val="0"/>
        </c:dLbls>
        <c:gapWidth val="182"/>
        <c:overlap val="-50"/>
        <c:axId val="776152000"/>
        <c:axId val="776147680"/>
      </c:barChart>
      <c:catAx>
        <c:axId val="7761520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147680"/>
        <c:crosses val="autoZero"/>
        <c:auto val="1"/>
        <c:lblAlgn val="ctr"/>
        <c:lblOffset val="100"/>
        <c:noMultiLvlLbl val="0"/>
      </c:catAx>
      <c:valAx>
        <c:axId val="776147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1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Pre &amp; Post Covid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'4. Problem Statement'!$L$4</c:f>
              <c:strCache>
                <c:ptCount val="1"/>
                <c:pt idx="0">
                  <c:v>Pre-COVID Avg CPI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Statement'!$K$5:$K$9</c:f>
              <c:strCache>
                <c:ptCount val="5"/>
                <c:pt idx="0">
                  <c:v>Food and beverage</c:v>
                </c:pt>
                <c:pt idx="1">
                  <c:v>Fuel and light</c:v>
                </c:pt>
                <c:pt idx="2">
                  <c:v>Household goods and services</c:v>
                </c:pt>
                <c:pt idx="3">
                  <c:v>Health</c:v>
                </c:pt>
                <c:pt idx="4">
                  <c:v>Transport and communication</c:v>
                </c:pt>
              </c:strCache>
            </c:strRef>
          </c:cat>
          <c:val>
            <c:numRef>
              <c:f>'4. Problem Statement'!$L$5:$L$9</c:f>
              <c:numCache>
                <c:formatCode>0.00</c:formatCode>
                <c:ptCount val="5"/>
                <c:pt idx="0">
                  <c:v>147.25454545454545</c:v>
                </c:pt>
                <c:pt idx="1">
                  <c:v>141.50909090909093</c:v>
                </c:pt>
                <c:pt idx="2">
                  <c:v>144.84545454545457</c:v>
                </c:pt>
                <c:pt idx="3">
                  <c:v>148.95454545454547</c:v>
                </c:pt>
                <c:pt idx="4">
                  <c:v>126.86363636363636</c:v>
                </c:pt>
              </c:numCache>
            </c:numRef>
          </c:val>
          <c:extLst>
            <c:ext xmlns:c16="http://schemas.microsoft.com/office/drawing/2014/chart" uri="{C3380CC4-5D6E-409C-BE32-E72D297353CC}">
              <c16:uniqueId val="{00000000-4B9A-498B-AB9A-EDAAE1CA3871}"/>
            </c:ext>
          </c:extLst>
        </c:ser>
        <c:ser>
          <c:idx val="1"/>
          <c:order val="1"/>
          <c:tx>
            <c:strRef>
              <c:f>'4. Problem Statement'!$M$4</c:f>
              <c:strCache>
                <c:ptCount val="1"/>
                <c:pt idx="0">
                  <c:v>Post-COVID Avg CPI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Statement'!$K$5:$K$9</c:f>
              <c:strCache>
                <c:ptCount val="5"/>
                <c:pt idx="0">
                  <c:v>Food and beverage</c:v>
                </c:pt>
                <c:pt idx="1">
                  <c:v>Fuel and light</c:v>
                </c:pt>
                <c:pt idx="2">
                  <c:v>Household goods and services</c:v>
                </c:pt>
                <c:pt idx="3">
                  <c:v>Health</c:v>
                </c:pt>
                <c:pt idx="4">
                  <c:v>Transport and communication</c:v>
                </c:pt>
              </c:strCache>
            </c:strRef>
          </c:cat>
          <c:val>
            <c:numRef>
              <c:f>'4. Problem Statement'!$M$5:$M$9</c:f>
              <c:numCache>
                <c:formatCode>0.00</c:formatCode>
                <c:ptCount val="5"/>
                <c:pt idx="0">
                  <c:v>157.65833333333336</c:v>
                </c:pt>
                <c:pt idx="1">
                  <c:v>145.41666666666666</c:v>
                </c:pt>
                <c:pt idx="2">
                  <c:v>148.5229166666667</c:v>
                </c:pt>
                <c:pt idx="3">
                  <c:v>156.24166666666665</c:v>
                </c:pt>
                <c:pt idx="4">
                  <c:v>138.58750000000001</c:v>
                </c:pt>
              </c:numCache>
            </c:numRef>
          </c:val>
          <c:extLst>
            <c:ext xmlns:c16="http://schemas.microsoft.com/office/drawing/2014/chart" uri="{C3380CC4-5D6E-409C-BE32-E72D297353CC}">
              <c16:uniqueId val="{00000001-4B9A-498B-AB9A-EDAAE1CA3871}"/>
            </c:ext>
          </c:extLst>
        </c:ser>
        <c:dLbls>
          <c:dLblPos val="outEnd"/>
          <c:showLegendKey val="0"/>
          <c:showVal val="1"/>
          <c:showCatName val="0"/>
          <c:showSerName val="0"/>
          <c:showPercent val="0"/>
          <c:showBubbleSize val="0"/>
        </c:dLbls>
        <c:gapWidth val="100"/>
        <c:overlap val="-24"/>
        <c:axId val="776173120"/>
        <c:axId val="776169280"/>
      </c:barChart>
      <c:catAx>
        <c:axId val="776173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69280"/>
        <c:crosses val="autoZero"/>
        <c:auto val="1"/>
        <c:lblAlgn val="ctr"/>
        <c:lblOffset val="100"/>
        <c:noMultiLvlLbl val="0"/>
      </c:catAx>
      <c:valAx>
        <c:axId val="7761692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7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Change in essential categories</a:t>
            </a:r>
          </a:p>
        </c:rich>
      </c:tx>
      <c:layout>
        <c:manualLayout>
          <c:xMode val="edge"/>
          <c:yMode val="edge"/>
          <c:x val="0.28659343477530097"/>
          <c:y val="3.57716762143948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'4. Problem Statement'!$D$34</c:f>
              <c:strCache>
                <c:ptCount val="1"/>
                <c:pt idx="0">
                  <c:v>% Change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Statement'!$A$35:$A$39</c:f>
              <c:strCache>
                <c:ptCount val="5"/>
                <c:pt idx="0">
                  <c:v>Food and beverage</c:v>
                </c:pt>
                <c:pt idx="1">
                  <c:v>Fuel and light</c:v>
                </c:pt>
                <c:pt idx="2">
                  <c:v>Household goods and services</c:v>
                </c:pt>
                <c:pt idx="3">
                  <c:v>Health</c:v>
                </c:pt>
                <c:pt idx="4">
                  <c:v>Transport and communication</c:v>
                </c:pt>
              </c:strCache>
            </c:strRef>
          </c:cat>
          <c:val>
            <c:numRef>
              <c:f>'4. Problem Statement'!$D$35:$D$39</c:f>
              <c:numCache>
                <c:formatCode>0.00</c:formatCode>
                <c:ptCount val="5"/>
                <c:pt idx="0">
                  <c:v>7.0651726550603176</c:v>
                </c:pt>
                <c:pt idx="1">
                  <c:v>2.7613602295601312</c:v>
                </c:pt>
                <c:pt idx="2">
                  <c:v>2.5388867967949178</c:v>
                </c:pt>
                <c:pt idx="3">
                  <c:v>4.8921778049028353</c:v>
                </c:pt>
                <c:pt idx="4">
                  <c:v>9.2413113579362314</c:v>
                </c:pt>
              </c:numCache>
            </c:numRef>
          </c:val>
          <c:smooth val="0"/>
          <c:extLst>
            <c:ext xmlns:c16="http://schemas.microsoft.com/office/drawing/2014/chart" uri="{C3380CC4-5D6E-409C-BE32-E72D297353CC}">
              <c16:uniqueId val="{00000000-DE97-47B7-BA8C-4FC5B15E88CA}"/>
            </c:ext>
          </c:extLst>
        </c:ser>
        <c:dLbls>
          <c:dLblPos val="t"/>
          <c:showLegendKey val="0"/>
          <c:showVal val="1"/>
          <c:showCatName val="0"/>
          <c:showSerName val="0"/>
          <c:showPercent val="0"/>
          <c:showBubbleSize val="0"/>
        </c:dLbls>
        <c:smooth val="0"/>
        <c:axId val="776155840"/>
        <c:axId val="776160640"/>
      </c:lineChart>
      <c:catAx>
        <c:axId val="776155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60640"/>
        <c:crosses val="autoZero"/>
        <c:auto val="1"/>
        <c:lblAlgn val="ctr"/>
        <c:lblOffset val="100"/>
        <c:noMultiLvlLbl val="0"/>
      </c:catAx>
      <c:valAx>
        <c:axId val="7761606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5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 Problem Statement'!$C$6:$C$7</c:f>
              <c:strCache>
                <c:ptCount val="2"/>
                <c:pt idx="0">
                  <c:v>MoM % Change</c:v>
                </c:pt>
              </c:strCache>
            </c:strRef>
          </c:tx>
          <c:spPr>
            <a:solidFill>
              <a:schemeClr val="accent1"/>
            </a:solidFill>
            <a:ln>
              <a:noFill/>
            </a:ln>
            <a:effectLst/>
          </c:spPr>
          <c:invertIfNegative val="0"/>
          <c:cat>
            <c:strRef>
              <c:f>'5. Problem Statement'!$A$8:$A$35</c:f>
              <c:strCache>
                <c:ptCount val="28"/>
                <c:pt idx="0">
                  <c:v>2021-February</c:v>
                </c:pt>
                <c:pt idx="1">
                  <c:v>2021-March</c:v>
                </c:pt>
                <c:pt idx="2">
                  <c:v>2021-April</c:v>
                </c:pt>
                <c:pt idx="3">
                  <c:v>2021-May</c:v>
                </c:pt>
                <c:pt idx="4">
                  <c:v>2021-June</c:v>
                </c:pt>
                <c:pt idx="5">
                  <c:v>2021-July</c:v>
                </c:pt>
                <c:pt idx="6">
                  <c:v>2021-August</c:v>
                </c:pt>
                <c:pt idx="7">
                  <c:v>2021-September</c:v>
                </c:pt>
                <c:pt idx="8">
                  <c:v>2021-October</c:v>
                </c:pt>
                <c:pt idx="9">
                  <c:v>2021-November</c:v>
                </c:pt>
                <c:pt idx="10">
                  <c:v>2021-December</c:v>
                </c:pt>
                <c:pt idx="11">
                  <c:v>2022-January</c:v>
                </c:pt>
                <c:pt idx="12">
                  <c:v>2022-February</c:v>
                </c:pt>
                <c:pt idx="13">
                  <c:v>2022-March</c:v>
                </c:pt>
                <c:pt idx="14">
                  <c:v>2022-April</c:v>
                </c:pt>
                <c:pt idx="15">
                  <c:v>2022-May</c:v>
                </c:pt>
                <c:pt idx="16">
                  <c:v>2022-June</c:v>
                </c:pt>
                <c:pt idx="17">
                  <c:v>2022-July</c:v>
                </c:pt>
                <c:pt idx="18">
                  <c:v>2022-August</c:v>
                </c:pt>
                <c:pt idx="19">
                  <c:v>2022-September</c:v>
                </c:pt>
                <c:pt idx="20">
                  <c:v>2022-October</c:v>
                </c:pt>
                <c:pt idx="21">
                  <c:v>2022-November</c:v>
                </c:pt>
                <c:pt idx="22">
                  <c:v>2022-December</c:v>
                </c:pt>
                <c:pt idx="23">
                  <c:v>2023-January</c:v>
                </c:pt>
                <c:pt idx="24">
                  <c:v>2023-February</c:v>
                </c:pt>
                <c:pt idx="25">
                  <c:v>2023-March</c:v>
                </c:pt>
                <c:pt idx="26">
                  <c:v>2023-April</c:v>
                </c:pt>
                <c:pt idx="27">
                  <c:v>2023-May</c:v>
                </c:pt>
              </c:strCache>
            </c:strRef>
          </c:cat>
          <c:val>
            <c:numRef>
              <c:f>'5. Problem Statement'!$C$8:$C$35</c:f>
              <c:numCache>
                <c:formatCode>0.00</c:formatCode>
                <c:ptCount val="28"/>
                <c:pt idx="0">
                  <c:v>10.662771590286646</c:v>
                </c:pt>
                <c:pt idx="1">
                  <c:v>4.6032007919485221</c:v>
                </c:pt>
                <c:pt idx="2">
                  <c:v>0.83596214511041189</c:v>
                </c:pt>
                <c:pt idx="3">
                  <c:v>4.7239167839824852</c:v>
                </c:pt>
                <c:pt idx="4">
                  <c:v>7.5130694548170283</c:v>
                </c:pt>
                <c:pt idx="5">
                  <c:v>1.2920255626562831</c:v>
                </c:pt>
                <c:pt idx="6">
                  <c:v>-4.951309834041969</c:v>
                </c:pt>
                <c:pt idx="7">
                  <c:v>5.5266955266955247</c:v>
                </c:pt>
                <c:pt idx="8">
                  <c:v>10.269383290031458</c:v>
                </c:pt>
                <c:pt idx="9">
                  <c:v>1.0912698412698356</c:v>
                </c:pt>
                <c:pt idx="10">
                  <c:v>-10.083415112855739</c:v>
                </c:pt>
                <c:pt idx="11">
                  <c:v>15.511596180081863</c:v>
                </c:pt>
                <c:pt idx="12">
                  <c:v>11.101925121058215</c:v>
                </c:pt>
                <c:pt idx="13">
                  <c:v>19.985117465717035</c:v>
                </c:pt>
                <c:pt idx="14">
                  <c:v>-8.3370248958979438</c:v>
                </c:pt>
                <c:pt idx="15">
                  <c:v>5.8476705973323133</c:v>
                </c:pt>
                <c:pt idx="16">
                  <c:v>5.9355310017350016</c:v>
                </c:pt>
                <c:pt idx="17">
                  <c:v>-9.0681837772605896</c:v>
                </c:pt>
                <c:pt idx="18">
                  <c:v>-7.6689733624040093</c:v>
                </c:pt>
                <c:pt idx="19">
                  <c:v>-6.8685831622176714</c:v>
                </c:pt>
                <c:pt idx="20">
                  <c:v>3.1198324330283458</c:v>
                </c:pt>
                <c:pt idx="21">
                  <c:v>-4.4472952747487815</c:v>
                </c:pt>
                <c:pt idx="22">
                  <c:v>-11.702841799060186</c:v>
                </c:pt>
                <c:pt idx="23">
                  <c:v>1.3431322858591006</c:v>
                </c:pt>
                <c:pt idx="24">
                  <c:v>3.6384096024005954</c:v>
                </c:pt>
                <c:pt idx="25">
                  <c:v>-6.1044758113162043</c:v>
                </c:pt>
                <c:pt idx="26">
                  <c:v>8.4671720416291958</c:v>
                </c:pt>
                <c:pt idx="27">
                  <c:v>-9.6778014688462459</c:v>
                </c:pt>
              </c:numCache>
            </c:numRef>
          </c:val>
          <c:extLst>
            <c:ext xmlns:c16="http://schemas.microsoft.com/office/drawing/2014/chart" uri="{C3380CC4-5D6E-409C-BE32-E72D297353CC}">
              <c16:uniqueId val="{00000000-72F0-40D0-BA8C-7BA68C911704}"/>
            </c:ext>
          </c:extLst>
        </c:ser>
        <c:dLbls>
          <c:showLegendKey val="0"/>
          <c:showVal val="0"/>
          <c:showCatName val="0"/>
          <c:showSerName val="0"/>
          <c:showPercent val="0"/>
          <c:showBubbleSize val="0"/>
        </c:dLbls>
        <c:gapWidth val="219"/>
        <c:overlap val="-27"/>
        <c:axId val="1803566175"/>
        <c:axId val="1803566655"/>
      </c:barChart>
      <c:catAx>
        <c:axId val="18035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66655"/>
        <c:crosses val="autoZero"/>
        <c:auto val="1"/>
        <c:lblAlgn val="ctr"/>
        <c:lblOffset val="100"/>
        <c:noMultiLvlLbl val="0"/>
      </c:catAx>
      <c:valAx>
        <c:axId val="1803566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Correlation with Global oil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'5. Problem Statement'!$B$71</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'5. Problem Statement'!$A$72:$A$98</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'5. Problem Statement'!$B$72:$B$98</c:f>
              <c:numCache>
                <c:formatCode>0.00</c:formatCode>
                <c:ptCount val="27"/>
                <c:pt idx="0">
                  <c:v>0.27409670497128702</c:v>
                </c:pt>
                <c:pt idx="1">
                  <c:v>0.77222949599737833</c:v>
                </c:pt>
                <c:pt idx="2">
                  <c:v>-0.18310637349596856</c:v>
                </c:pt>
                <c:pt idx="3">
                  <c:v>0.37049052424856355</c:v>
                </c:pt>
                <c:pt idx="4">
                  <c:v>0.80658718039858224</c:v>
                </c:pt>
                <c:pt idx="5">
                  <c:v>0.48234094901859309</c:v>
                </c:pt>
                <c:pt idx="6">
                  <c:v>0.35581113005155118</c:v>
                </c:pt>
                <c:pt idx="7">
                  <c:v>0.19787360407721799</c:v>
                </c:pt>
                <c:pt idx="8">
                  <c:v>0.51657079570880005</c:v>
                </c:pt>
                <c:pt idx="9">
                  <c:v>0.35477097919115397</c:v>
                </c:pt>
                <c:pt idx="10">
                  <c:v>0.56884381641242887</c:v>
                </c:pt>
                <c:pt idx="11">
                  <c:v>0.49961929532216509</c:v>
                </c:pt>
                <c:pt idx="12">
                  <c:v>0.59350350227285387</c:v>
                </c:pt>
                <c:pt idx="13">
                  <c:v>0.41479253007568212</c:v>
                </c:pt>
                <c:pt idx="14">
                  <c:v>0.53587795477573497</c:v>
                </c:pt>
                <c:pt idx="15">
                  <c:v>0.56314566874664573</c:v>
                </c:pt>
                <c:pt idx="16">
                  <c:v>0.54043607534632621</c:v>
                </c:pt>
                <c:pt idx="17">
                  <c:v>0.44622434794063076</c:v>
                </c:pt>
                <c:pt idx="18">
                  <c:v>0.58495753021404218</c:v>
                </c:pt>
                <c:pt idx="19">
                  <c:v>0.52209387745299818</c:v>
                </c:pt>
                <c:pt idx="20">
                  <c:v>0.49187525591200187</c:v>
                </c:pt>
                <c:pt idx="21">
                  <c:v>0.67975100740010441</c:v>
                </c:pt>
                <c:pt idx="22">
                  <c:v>0.6047566061142553</c:v>
                </c:pt>
                <c:pt idx="23">
                  <c:v>0.45502547138458282</c:v>
                </c:pt>
                <c:pt idx="24">
                  <c:v>0.41401587382929339</c:v>
                </c:pt>
                <c:pt idx="25">
                  <c:v>0.54918188209165064</c:v>
                </c:pt>
                <c:pt idx="26">
                  <c:v>0.57009464242211494</c:v>
                </c:pt>
              </c:numCache>
            </c:numRef>
          </c:val>
          <c:extLst>
            <c:ext xmlns:c16="http://schemas.microsoft.com/office/drawing/2014/chart" uri="{C3380CC4-5D6E-409C-BE32-E72D297353CC}">
              <c16:uniqueId val="{00000000-285E-4E39-8FB6-818B55D459B2}"/>
            </c:ext>
          </c:extLst>
        </c:ser>
        <c:dLbls>
          <c:showLegendKey val="0"/>
          <c:showVal val="0"/>
          <c:showCatName val="0"/>
          <c:showSerName val="0"/>
          <c:showPercent val="0"/>
          <c:showBubbleSize val="0"/>
        </c:dLbls>
        <c:gapWidth val="100"/>
        <c:overlap val="-24"/>
        <c:axId val="1447162959"/>
        <c:axId val="1447135599"/>
      </c:barChart>
      <c:catAx>
        <c:axId val="144716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135599"/>
        <c:crosses val="autoZero"/>
        <c:auto val="1"/>
        <c:lblAlgn val="ctr"/>
        <c:lblOffset val="100"/>
        <c:noMultiLvlLbl val="0"/>
      </c:catAx>
      <c:valAx>
        <c:axId val="14471355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1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Contribution</a:t>
            </a:r>
            <a:r>
              <a:rPr lang="en-IN" baseline="0"/>
              <a:t> of broader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220012190419339E-2"/>
          <c:y val="0.18673032551592783"/>
          <c:w val="0.54068875869189337"/>
          <c:h val="0.69579133737322185"/>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14F-45CC-A385-19625BBCAB0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14F-45CC-A385-19625BBCAB0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14F-45CC-A385-19625BBCAB0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14F-45CC-A385-19625BBCAB0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14F-45CC-A385-19625BBCAB0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14F-45CC-A385-19625BBCAB0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414F-45CC-A385-19625BBCAB0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414F-45CC-A385-19625BBCAB0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414F-45CC-A385-19625BBCAB0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14F-45CC-A385-19625BBCAB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Problem Statement'!$B$12:$K$12</c:f>
              <c:strCache>
                <c:ptCount val="10"/>
                <c:pt idx="0">
                  <c:v>Average of Food Bucket</c:v>
                </c:pt>
                <c:pt idx="1">
                  <c:v>Average of Pan, tobacco and intoxicants</c:v>
                </c:pt>
                <c:pt idx="2">
                  <c:v>Average of Clothing and Footwear bucket</c:v>
                </c:pt>
                <c:pt idx="3">
                  <c:v>Average of Fuel and light</c:v>
                </c:pt>
                <c:pt idx="4">
                  <c:v>Average of Housing &amp; Household goods and services bucket</c:v>
                </c:pt>
                <c:pt idx="5">
                  <c:v>Average of Transport and communication</c:v>
                </c:pt>
                <c:pt idx="6">
                  <c:v>Average of Recreation and amusement</c:v>
                </c:pt>
                <c:pt idx="7">
                  <c:v>Average of Education</c:v>
                </c:pt>
                <c:pt idx="8">
                  <c:v>Average of Health &amp; Personal care and effects bucket</c:v>
                </c:pt>
                <c:pt idx="9">
                  <c:v>Average of Miscellaneous</c:v>
                </c:pt>
              </c:strCache>
            </c:strRef>
          </c:cat>
          <c:val>
            <c:numRef>
              <c:f>'1. Problem Statement'!$B$14:$K$14</c:f>
              <c:numCache>
                <c:formatCode>0.0</c:formatCode>
                <c:ptCount val="10"/>
                <c:pt idx="0">
                  <c:v>49.563853557923679</c:v>
                </c:pt>
                <c:pt idx="1">
                  <c:v>4.3184943279477483</c:v>
                </c:pt>
                <c:pt idx="2">
                  <c:v>11.885527672739773</c:v>
                </c:pt>
                <c:pt idx="3">
                  <c:v>3.9274664833276041</c:v>
                </c:pt>
                <c:pt idx="4">
                  <c:v>7.5369542798212423</c:v>
                </c:pt>
                <c:pt idx="5">
                  <c:v>3.5407356479889995</c:v>
                </c:pt>
                <c:pt idx="6">
                  <c:v>3.678239944998281</c:v>
                </c:pt>
                <c:pt idx="7">
                  <c:v>3.805001718803712</c:v>
                </c:pt>
                <c:pt idx="8">
                  <c:v>7.9688037126160181</c:v>
                </c:pt>
                <c:pt idx="9">
                  <c:v>3.7749226538329315</c:v>
                </c:pt>
              </c:numCache>
            </c:numRef>
          </c:val>
          <c:extLst>
            <c:ext xmlns:c16="http://schemas.microsoft.com/office/drawing/2014/chart" uri="{C3380CC4-5D6E-409C-BE32-E72D297353CC}">
              <c16:uniqueId val="{00000014-414F-45CC-A385-19625BBCAB0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YoY inflation %(2017-2023)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'2. Problem Statement'!$F$7</c:f>
              <c:strCache>
                <c:ptCount val="1"/>
                <c:pt idx="0">
                  <c:v>YoY inflation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'2. Problem Statement'!$D$8:$D$15</c:f>
              <c:numCache>
                <c:formatCode>General</c:formatCode>
                <c:ptCount val="8"/>
                <c:pt idx="0">
                  <c:v>2016</c:v>
                </c:pt>
                <c:pt idx="1">
                  <c:v>2017</c:v>
                </c:pt>
                <c:pt idx="2">
                  <c:v>2018</c:v>
                </c:pt>
                <c:pt idx="3">
                  <c:v>2019</c:v>
                </c:pt>
                <c:pt idx="4">
                  <c:v>2020</c:v>
                </c:pt>
                <c:pt idx="5">
                  <c:v>2021</c:v>
                </c:pt>
                <c:pt idx="6">
                  <c:v>2022</c:v>
                </c:pt>
                <c:pt idx="7">
                  <c:v>2023</c:v>
                </c:pt>
              </c:numCache>
            </c:numRef>
          </c:cat>
          <c:val>
            <c:numRef>
              <c:f>'2. Problem Statement'!$F$8:$F$15</c:f>
              <c:numCache>
                <c:formatCode>0.00</c:formatCode>
                <c:ptCount val="8"/>
                <c:pt idx="1">
                  <c:v>3.32817337461299</c:v>
                </c:pt>
                <c:pt idx="2">
                  <c:v>3.9513108614232477</c:v>
                </c:pt>
                <c:pt idx="3">
                  <c:v>3.8961038961039161</c:v>
                </c:pt>
                <c:pt idx="4">
                  <c:v>5.8328079024800106</c:v>
                </c:pt>
                <c:pt idx="5">
                  <c:v>5.8107148708426486</c:v>
                </c:pt>
                <c:pt idx="6">
                  <c:v>6.621935483870967</c:v>
                </c:pt>
                <c:pt idx="7">
                  <c:v>3.1774615161196631</c:v>
                </c:pt>
              </c:numCache>
            </c:numRef>
          </c:val>
          <c:smooth val="0"/>
          <c:extLst>
            <c:ext xmlns:c16="http://schemas.microsoft.com/office/drawing/2014/chart" uri="{C3380CC4-5D6E-409C-BE32-E72D297353CC}">
              <c16:uniqueId val="{00000000-71C1-441F-870F-2014F37DDF63}"/>
            </c:ext>
          </c:extLst>
        </c:ser>
        <c:dLbls>
          <c:dLblPos val="ctr"/>
          <c:showLegendKey val="0"/>
          <c:showVal val="1"/>
          <c:showCatName val="0"/>
          <c:showSerName val="0"/>
          <c:showPercent val="0"/>
          <c:showBubbleSize val="0"/>
        </c:dLbls>
        <c:marker val="1"/>
        <c:smooth val="0"/>
        <c:axId val="776157280"/>
        <c:axId val="776168800"/>
      </c:lineChart>
      <c:catAx>
        <c:axId val="77615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6168800"/>
        <c:crosses val="autoZero"/>
        <c:auto val="1"/>
        <c:lblAlgn val="ctr"/>
        <c:lblOffset val="100"/>
        <c:noMultiLvlLbl val="0"/>
      </c:catAx>
      <c:valAx>
        <c:axId val="776168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761572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Food Inflation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'3. Problem Statement'!$R$6:$R$7</c:f>
              <c:strCache>
                <c:ptCount val="2"/>
                <c:pt idx="0">
                  <c:v>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Problem Statement'!$C$8:$C$19</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'3. Problem Statement'!$R$8:$R$19</c:f>
              <c:numCache>
                <c:formatCode>0.00</c:formatCode>
                <c:ptCount val="12"/>
                <c:pt idx="0">
                  <c:v>1.0272901871454425</c:v>
                </c:pt>
                <c:pt idx="1">
                  <c:v>0.19452672531943327</c:v>
                </c:pt>
                <c:pt idx="2">
                  <c:v>0.12796187618585006</c:v>
                </c:pt>
                <c:pt idx="3">
                  <c:v>0.51560021152829516</c:v>
                </c:pt>
                <c:pt idx="4">
                  <c:v>0.71901442413082706</c:v>
                </c:pt>
                <c:pt idx="5">
                  <c:v>-2.1764680276851682E-2</c:v>
                </c:pt>
                <c:pt idx="6">
                  <c:v>-0.58342041100662179</c:v>
                </c:pt>
                <c:pt idx="7">
                  <c:v>0.40728737847069707</c:v>
                </c:pt>
                <c:pt idx="8">
                  <c:v>-0.59318707201117182</c:v>
                </c:pt>
                <c:pt idx="9">
                  <c:v>4.3876968978992913E-3</c:v>
                </c:pt>
                <c:pt idx="10">
                  <c:v>0.456300456300479</c:v>
                </c:pt>
                <c:pt idx="11">
                  <c:v>0.75559049615652807</c:v>
                </c:pt>
              </c:numCache>
            </c:numRef>
          </c:val>
          <c:extLst>
            <c:ext xmlns:c16="http://schemas.microsoft.com/office/drawing/2014/chart" uri="{C3380CC4-5D6E-409C-BE32-E72D297353CC}">
              <c16:uniqueId val="{00000000-6A80-4EB5-83B9-748603C1DB0B}"/>
            </c:ext>
          </c:extLst>
        </c:ser>
        <c:dLbls>
          <c:dLblPos val="outEnd"/>
          <c:showLegendKey val="0"/>
          <c:showVal val="1"/>
          <c:showCatName val="0"/>
          <c:showSerName val="0"/>
          <c:showPercent val="0"/>
          <c:showBubbleSize val="0"/>
        </c:dLbls>
        <c:gapWidth val="100"/>
        <c:overlap val="-24"/>
        <c:axId val="776210080"/>
        <c:axId val="776208160"/>
      </c:barChart>
      <c:catAx>
        <c:axId val="776210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208160"/>
        <c:crosses val="autoZero"/>
        <c:auto val="1"/>
        <c:lblAlgn val="ctr"/>
        <c:lblOffset val="100"/>
        <c:noMultiLvlLbl val="0"/>
      </c:catAx>
      <c:valAx>
        <c:axId val="77620816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210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Absolut % change within food bucket</a:t>
            </a:r>
          </a:p>
        </c:rich>
      </c:tx>
      <c:layout>
        <c:manualLayout>
          <c:xMode val="edge"/>
          <c:yMode val="edge"/>
          <c:x val="0.2757805101052143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'3. Problem Statement'!$D$38</c:f>
              <c:strCache>
                <c:ptCount val="1"/>
                <c:pt idx="0">
                  <c:v>Absolut % change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 Problem Statement'!$A$39:$A$50</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strCache>
            </c:strRef>
          </c:cat>
          <c:val>
            <c:numRef>
              <c:f>'3. Problem Statement'!$D$39:$D$50</c:f>
              <c:numCache>
                <c:formatCode>0.00</c:formatCode>
                <c:ptCount val="12"/>
                <c:pt idx="0">
                  <c:v>12.064516129032251</c:v>
                </c:pt>
                <c:pt idx="1">
                  <c:v>-2.3245214220601613</c:v>
                </c:pt>
                <c:pt idx="2">
                  <c:v>1.4051522248243427</c:v>
                </c:pt>
                <c:pt idx="3">
                  <c:v>8.2629674306393177</c:v>
                </c:pt>
                <c:pt idx="4">
                  <c:v>-15.380786460925835</c:v>
                </c:pt>
                <c:pt idx="5">
                  <c:v>1.4731879787860933</c:v>
                </c:pt>
                <c:pt idx="6">
                  <c:v>-11.684037301151953</c:v>
                </c:pt>
                <c:pt idx="7">
                  <c:v>6.8776628119293877</c:v>
                </c:pt>
                <c:pt idx="8">
                  <c:v>2.3352793994995804</c:v>
                </c:pt>
                <c:pt idx="9">
                  <c:v>16.515232495991452</c:v>
                </c:pt>
                <c:pt idx="10">
                  <c:v>3.2757593805836809</c:v>
                </c:pt>
                <c:pt idx="11">
                  <c:v>5.6008700380641558</c:v>
                </c:pt>
              </c:numCache>
            </c:numRef>
          </c:val>
          <c:extLst>
            <c:ext xmlns:c16="http://schemas.microsoft.com/office/drawing/2014/chart" uri="{C3380CC4-5D6E-409C-BE32-E72D297353CC}">
              <c16:uniqueId val="{00000000-2201-4378-919D-298EBFFDA51C}"/>
            </c:ext>
          </c:extLst>
        </c:ser>
        <c:dLbls>
          <c:dLblPos val="outEnd"/>
          <c:showLegendKey val="0"/>
          <c:showVal val="1"/>
          <c:showCatName val="0"/>
          <c:showSerName val="0"/>
          <c:showPercent val="0"/>
          <c:showBubbleSize val="0"/>
        </c:dLbls>
        <c:gapWidth val="182"/>
        <c:overlap val="-50"/>
        <c:axId val="776152000"/>
        <c:axId val="776147680"/>
      </c:barChart>
      <c:catAx>
        <c:axId val="7761520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147680"/>
        <c:crosses val="autoZero"/>
        <c:auto val="1"/>
        <c:lblAlgn val="ctr"/>
        <c:lblOffset val="100"/>
        <c:noMultiLvlLbl val="0"/>
      </c:catAx>
      <c:valAx>
        <c:axId val="776147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1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a:t>
            </a:r>
            <a:r>
              <a:rPr lang="en-IN" baseline="0"/>
              <a:t> &amp; Post Covid Comparison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'4. Problem Statement'!$L$4</c:f>
              <c:strCache>
                <c:ptCount val="1"/>
                <c:pt idx="0">
                  <c:v>Pre-COVID Avg CPI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Statement'!$K$5:$K$9</c:f>
              <c:strCache>
                <c:ptCount val="5"/>
                <c:pt idx="0">
                  <c:v>Food and beverage</c:v>
                </c:pt>
                <c:pt idx="1">
                  <c:v>Fuel and light</c:v>
                </c:pt>
                <c:pt idx="2">
                  <c:v>Household goods and services</c:v>
                </c:pt>
                <c:pt idx="3">
                  <c:v>Health</c:v>
                </c:pt>
                <c:pt idx="4">
                  <c:v>Transport and communication</c:v>
                </c:pt>
              </c:strCache>
            </c:strRef>
          </c:cat>
          <c:val>
            <c:numRef>
              <c:f>'4. Problem Statement'!$L$5:$L$9</c:f>
              <c:numCache>
                <c:formatCode>0.00</c:formatCode>
                <c:ptCount val="5"/>
                <c:pt idx="0">
                  <c:v>147.25454545454545</c:v>
                </c:pt>
                <c:pt idx="1">
                  <c:v>141.50909090909093</c:v>
                </c:pt>
                <c:pt idx="2">
                  <c:v>144.84545454545457</c:v>
                </c:pt>
                <c:pt idx="3">
                  <c:v>148.95454545454547</c:v>
                </c:pt>
                <c:pt idx="4">
                  <c:v>126.86363636363636</c:v>
                </c:pt>
              </c:numCache>
            </c:numRef>
          </c:val>
          <c:extLst>
            <c:ext xmlns:c16="http://schemas.microsoft.com/office/drawing/2014/chart" uri="{C3380CC4-5D6E-409C-BE32-E72D297353CC}">
              <c16:uniqueId val="{00000000-9EA6-436A-8E05-D0B8CF5AE74F}"/>
            </c:ext>
          </c:extLst>
        </c:ser>
        <c:ser>
          <c:idx val="1"/>
          <c:order val="1"/>
          <c:tx>
            <c:strRef>
              <c:f>'4. Problem Statement'!$M$4</c:f>
              <c:strCache>
                <c:ptCount val="1"/>
                <c:pt idx="0">
                  <c:v>Post-COVID Avg CPI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Statement'!$K$5:$K$9</c:f>
              <c:strCache>
                <c:ptCount val="5"/>
                <c:pt idx="0">
                  <c:v>Food and beverage</c:v>
                </c:pt>
                <c:pt idx="1">
                  <c:v>Fuel and light</c:v>
                </c:pt>
                <c:pt idx="2">
                  <c:v>Household goods and services</c:v>
                </c:pt>
                <c:pt idx="3">
                  <c:v>Health</c:v>
                </c:pt>
                <c:pt idx="4">
                  <c:v>Transport and communication</c:v>
                </c:pt>
              </c:strCache>
            </c:strRef>
          </c:cat>
          <c:val>
            <c:numRef>
              <c:f>'4. Problem Statement'!$M$5:$M$9</c:f>
              <c:numCache>
                <c:formatCode>0.00</c:formatCode>
                <c:ptCount val="5"/>
                <c:pt idx="0">
                  <c:v>157.65833333333336</c:v>
                </c:pt>
                <c:pt idx="1">
                  <c:v>145.41666666666666</c:v>
                </c:pt>
                <c:pt idx="2">
                  <c:v>148.5229166666667</c:v>
                </c:pt>
                <c:pt idx="3">
                  <c:v>156.24166666666665</c:v>
                </c:pt>
                <c:pt idx="4">
                  <c:v>138.58750000000001</c:v>
                </c:pt>
              </c:numCache>
            </c:numRef>
          </c:val>
          <c:extLst>
            <c:ext xmlns:c16="http://schemas.microsoft.com/office/drawing/2014/chart" uri="{C3380CC4-5D6E-409C-BE32-E72D297353CC}">
              <c16:uniqueId val="{00000001-9EA6-436A-8E05-D0B8CF5AE74F}"/>
            </c:ext>
          </c:extLst>
        </c:ser>
        <c:dLbls>
          <c:dLblPos val="outEnd"/>
          <c:showLegendKey val="0"/>
          <c:showVal val="1"/>
          <c:showCatName val="0"/>
          <c:showSerName val="0"/>
          <c:showPercent val="0"/>
          <c:showBubbleSize val="0"/>
        </c:dLbls>
        <c:gapWidth val="100"/>
        <c:overlap val="-24"/>
        <c:axId val="776173120"/>
        <c:axId val="776169280"/>
      </c:barChart>
      <c:catAx>
        <c:axId val="7761731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69280"/>
        <c:crosses val="autoZero"/>
        <c:auto val="1"/>
        <c:lblAlgn val="ctr"/>
        <c:lblOffset val="100"/>
        <c:noMultiLvlLbl val="0"/>
      </c:catAx>
      <c:valAx>
        <c:axId val="7761692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7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Correlation with Global oil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'5. Problem Statement'!$B$71</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'5. Problem Statement'!$A$72:$A$98</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'5. Problem Statement'!$B$72:$B$98</c:f>
              <c:numCache>
                <c:formatCode>0.00</c:formatCode>
                <c:ptCount val="27"/>
                <c:pt idx="0">
                  <c:v>0.27409670497128702</c:v>
                </c:pt>
                <c:pt idx="1">
                  <c:v>0.77222949599737833</c:v>
                </c:pt>
                <c:pt idx="2">
                  <c:v>-0.18310637349596856</c:v>
                </c:pt>
                <c:pt idx="3">
                  <c:v>0.37049052424856355</c:v>
                </c:pt>
                <c:pt idx="4">
                  <c:v>0.80658718039858224</c:v>
                </c:pt>
                <c:pt idx="5">
                  <c:v>0.48234094901859309</c:v>
                </c:pt>
                <c:pt idx="6">
                  <c:v>0.35581113005155118</c:v>
                </c:pt>
                <c:pt idx="7">
                  <c:v>0.19787360407721799</c:v>
                </c:pt>
                <c:pt idx="8">
                  <c:v>0.51657079570880005</c:v>
                </c:pt>
                <c:pt idx="9">
                  <c:v>0.35477097919115397</c:v>
                </c:pt>
                <c:pt idx="10">
                  <c:v>0.56884381641242887</c:v>
                </c:pt>
                <c:pt idx="11">
                  <c:v>0.49961929532216509</c:v>
                </c:pt>
                <c:pt idx="12">
                  <c:v>0.59350350227285387</c:v>
                </c:pt>
                <c:pt idx="13">
                  <c:v>0.41479253007568212</c:v>
                </c:pt>
                <c:pt idx="14">
                  <c:v>0.53587795477573497</c:v>
                </c:pt>
                <c:pt idx="15">
                  <c:v>0.56314566874664573</c:v>
                </c:pt>
                <c:pt idx="16">
                  <c:v>0.54043607534632621</c:v>
                </c:pt>
                <c:pt idx="17">
                  <c:v>0.44622434794063076</c:v>
                </c:pt>
                <c:pt idx="18">
                  <c:v>0.58495753021404218</c:v>
                </c:pt>
                <c:pt idx="19">
                  <c:v>0.52209387745299818</c:v>
                </c:pt>
                <c:pt idx="20">
                  <c:v>0.49187525591200187</c:v>
                </c:pt>
                <c:pt idx="21">
                  <c:v>0.67975100740010441</c:v>
                </c:pt>
                <c:pt idx="22">
                  <c:v>0.6047566061142553</c:v>
                </c:pt>
                <c:pt idx="23">
                  <c:v>0.45502547138458282</c:v>
                </c:pt>
                <c:pt idx="24">
                  <c:v>0.41401587382929339</c:v>
                </c:pt>
                <c:pt idx="25">
                  <c:v>0.54918188209165064</c:v>
                </c:pt>
                <c:pt idx="26">
                  <c:v>0.57009464242211494</c:v>
                </c:pt>
              </c:numCache>
            </c:numRef>
          </c:val>
          <c:extLst>
            <c:ext xmlns:c16="http://schemas.microsoft.com/office/drawing/2014/chart" uri="{C3380CC4-5D6E-409C-BE32-E72D297353CC}">
              <c16:uniqueId val="{00000000-E799-4E82-9385-4F8E1F17762D}"/>
            </c:ext>
          </c:extLst>
        </c:ser>
        <c:dLbls>
          <c:showLegendKey val="0"/>
          <c:showVal val="0"/>
          <c:showCatName val="0"/>
          <c:showSerName val="0"/>
          <c:showPercent val="0"/>
          <c:showBubbleSize val="0"/>
        </c:dLbls>
        <c:gapWidth val="100"/>
        <c:overlap val="-24"/>
        <c:axId val="1447162959"/>
        <c:axId val="1447135599"/>
      </c:barChart>
      <c:catAx>
        <c:axId val="144716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135599"/>
        <c:crosses val="autoZero"/>
        <c:auto val="1"/>
        <c:lblAlgn val="ctr"/>
        <c:lblOffset val="100"/>
        <c:noMultiLvlLbl val="0"/>
      </c:catAx>
      <c:valAx>
        <c:axId val="14471355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1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Change in essential categories</a:t>
            </a:r>
          </a:p>
        </c:rich>
      </c:tx>
      <c:layout>
        <c:manualLayout>
          <c:xMode val="edge"/>
          <c:yMode val="edge"/>
          <c:x val="0.21002448824018916"/>
          <c:y val="2.78955021362329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'4. Problem Statement'!$D$34</c:f>
              <c:strCache>
                <c:ptCount val="1"/>
                <c:pt idx="0">
                  <c:v>% Change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Problem Statement'!$A$35:$A$39</c:f>
              <c:strCache>
                <c:ptCount val="5"/>
                <c:pt idx="0">
                  <c:v>Food and beverage</c:v>
                </c:pt>
                <c:pt idx="1">
                  <c:v>Fuel and light</c:v>
                </c:pt>
                <c:pt idx="2">
                  <c:v>Household goods and services</c:v>
                </c:pt>
                <c:pt idx="3">
                  <c:v>Health</c:v>
                </c:pt>
                <c:pt idx="4">
                  <c:v>Transport and communication</c:v>
                </c:pt>
              </c:strCache>
            </c:strRef>
          </c:cat>
          <c:val>
            <c:numRef>
              <c:f>'4. Problem Statement'!$D$35:$D$39</c:f>
              <c:numCache>
                <c:formatCode>0.00</c:formatCode>
                <c:ptCount val="5"/>
                <c:pt idx="0">
                  <c:v>7.0651726550603176</c:v>
                </c:pt>
                <c:pt idx="1">
                  <c:v>2.7613602295601312</c:v>
                </c:pt>
                <c:pt idx="2">
                  <c:v>2.5388867967949178</c:v>
                </c:pt>
                <c:pt idx="3">
                  <c:v>4.8921778049028353</c:v>
                </c:pt>
                <c:pt idx="4">
                  <c:v>9.2413113579362314</c:v>
                </c:pt>
              </c:numCache>
            </c:numRef>
          </c:val>
          <c:smooth val="0"/>
          <c:extLst>
            <c:ext xmlns:c16="http://schemas.microsoft.com/office/drawing/2014/chart" uri="{C3380CC4-5D6E-409C-BE32-E72D297353CC}">
              <c16:uniqueId val="{00000000-4E43-4246-B173-18555088B20E}"/>
            </c:ext>
          </c:extLst>
        </c:ser>
        <c:dLbls>
          <c:dLblPos val="t"/>
          <c:showLegendKey val="0"/>
          <c:showVal val="1"/>
          <c:showCatName val="0"/>
          <c:showSerName val="0"/>
          <c:showPercent val="0"/>
          <c:showBubbleSize val="0"/>
        </c:dLbls>
        <c:smooth val="0"/>
        <c:axId val="776155840"/>
        <c:axId val="776160640"/>
      </c:lineChart>
      <c:catAx>
        <c:axId val="776155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60640"/>
        <c:crosses val="autoZero"/>
        <c:auto val="1"/>
        <c:lblAlgn val="ctr"/>
        <c:lblOffset val="100"/>
        <c:noMultiLvlLbl val="0"/>
      </c:catAx>
      <c:valAx>
        <c:axId val="7761606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15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12700</xdr:colOff>
      <xdr:row>15</xdr:row>
      <xdr:rowOff>12700</xdr:rowOff>
    </xdr:from>
    <xdr:to>
      <xdr:col>5</xdr:col>
      <xdr:colOff>2444750</xdr:colOff>
      <xdr:row>33</xdr:row>
      <xdr:rowOff>177799</xdr:rowOff>
    </xdr:to>
    <xdr:graphicFrame macro="">
      <xdr:nvGraphicFramePr>
        <xdr:cNvPr id="3" name="Chart 2">
          <a:extLst>
            <a:ext uri="{FF2B5EF4-FFF2-40B4-BE49-F238E27FC236}">
              <a16:creationId xmlns:a16="http://schemas.microsoft.com/office/drawing/2014/main" id="{764D510D-426D-F834-121E-79AF2759C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3</xdr:row>
      <xdr:rowOff>177800</xdr:rowOff>
    </xdr:from>
    <xdr:to>
      <xdr:col>15</xdr:col>
      <xdr:colOff>6349</xdr:colOff>
      <xdr:row>20</xdr:row>
      <xdr:rowOff>25400</xdr:rowOff>
    </xdr:to>
    <xdr:graphicFrame macro="">
      <xdr:nvGraphicFramePr>
        <xdr:cNvPr id="3" name="Chart 2">
          <a:extLst>
            <a:ext uri="{FF2B5EF4-FFF2-40B4-BE49-F238E27FC236}">
              <a16:creationId xmlns:a16="http://schemas.microsoft.com/office/drawing/2014/main" id="{5C726FB5-548F-8213-D132-F70FC1299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9524</xdr:colOff>
      <xdr:row>20</xdr:row>
      <xdr:rowOff>6350</xdr:rowOff>
    </xdr:from>
    <xdr:to>
      <xdr:col>16</xdr:col>
      <xdr:colOff>596899</xdr:colOff>
      <xdr:row>35</xdr:row>
      <xdr:rowOff>171450</xdr:rowOff>
    </xdr:to>
    <xdr:graphicFrame macro="">
      <xdr:nvGraphicFramePr>
        <xdr:cNvPr id="2" name="Chart 1">
          <a:extLst>
            <a:ext uri="{FF2B5EF4-FFF2-40B4-BE49-F238E27FC236}">
              <a16:creationId xmlns:a16="http://schemas.microsoft.com/office/drawing/2014/main" id="{9466DD0D-E31D-B4E9-6F12-2693C0B94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600074</xdr:colOff>
      <xdr:row>36</xdr:row>
      <xdr:rowOff>177800</xdr:rowOff>
    </xdr:from>
    <xdr:to>
      <xdr:col>16</xdr:col>
      <xdr:colOff>609599</xdr:colOff>
      <xdr:row>51</xdr:row>
      <xdr:rowOff>158750</xdr:rowOff>
    </xdr:to>
    <xdr:graphicFrame macro="">
      <xdr:nvGraphicFramePr>
        <xdr:cNvPr id="3" name="Chart 2">
          <a:extLst>
            <a:ext uri="{FF2B5EF4-FFF2-40B4-BE49-F238E27FC236}">
              <a16:creationId xmlns:a16="http://schemas.microsoft.com/office/drawing/2014/main" id="{56E035B4-2994-A966-0BC4-25FAAAFF1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2953</xdr:colOff>
      <xdr:row>9</xdr:row>
      <xdr:rowOff>169825</xdr:rowOff>
    </xdr:from>
    <xdr:to>
      <xdr:col>13</xdr:col>
      <xdr:colOff>775290</xdr:colOff>
      <xdr:row>27</xdr:row>
      <xdr:rowOff>14768</xdr:rowOff>
    </xdr:to>
    <xdr:graphicFrame macro="">
      <xdr:nvGraphicFramePr>
        <xdr:cNvPr id="3" name="Chart 2">
          <a:extLst>
            <a:ext uri="{FF2B5EF4-FFF2-40B4-BE49-F238E27FC236}">
              <a16:creationId xmlns:a16="http://schemas.microsoft.com/office/drawing/2014/main" id="{E69F5B2F-F1B0-91CC-8E9E-1A6D0185F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22151</xdr:colOff>
      <xdr:row>30</xdr:row>
      <xdr:rowOff>7384</xdr:rowOff>
    </xdr:from>
    <xdr:to>
      <xdr:col>12</xdr:col>
      <xdr:colOff>22151</xdr:colOff>
      <xdr:row>45</xdr:row>
      <xdr:rowOff>168054</xdr:rowOff>
    </xdr:to>
    <xdr:graphicFrame macro="">
      <xdr:nvGraphicFramePr>
        <xdr:cNvPr id="4" name="Chart 3">
          <a:extLst>
            <a:ext uri="{FF2B5EF4-FFF2-40B4-BE49-F238E27FC236}">
              <a16:creationId xmlns:a16="http://schemas.microsoft.com/office/drawing/2014/main" id="{EA634AD0-D3F4-BCED-AE77-60096AB54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4</xdr:row>
      <xdr:rowOff>180974</xdr:rowOff>
    </xdr:from>
    <xdr:to>
      <xdr:col>14</xdr:col>
      <xdr:colOff>31750</xdr:colOff>
      <xdr:row>19</xdr:row>
      <xdr:rowOff>177799</xdr:rowOff>
    </xdr:to>
    <xdr:graphicFrame macro="">
      <xdr:nvGraphicFramePr>
        <xdr:cNvPr id="2" name="Chart 1">
          <a:extLst>
            <a:ext uri="{FF2B5EF4-FFF2-40B4-BE49-F238E27FC236}">
              <a16:creationId xmlns:a16="http://schemas.microsoft.com/office/drawing/2014/main" id="{AF89E97A-2B8A-7A88-9023-20E0CFA93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70</xdr:row>
      <xdr:rowOff>3174</xdr:rowOff>
    </xdr:from>
    <xdr:to>
      <xdr:col>12</xdr:col>
      <xdr:colOff>336550</xdr:colOff>
      <xdr:row>86</xdr:row>
      <xdr:rowOff>184149</xdr:rowOff>
    </xdr:to>
    <xdr:graphicFrame macro="">
      <xdr:nvGraphicFramePr>
        <xdr:cNvPr id="4" name="Chart 3">
          <a:extLst>
            <a:ext uri="{FF2B5EF4-FFF2-40B4-BE49-F238E27FC236}">
              <a16:creationId xmlns:a16="http://schemas.microsoft.com/office/drawing/2014/main" id="{F0C2B207-DE31-3A09-2956-98E439322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2</xdr:row>
      <xdr:rowOff>0</xdr:rowOff>
    </xdr:from>
    <xdr:to>
      <xdr:col>10</xdr:col>
      <xdr:colOff>19050</xdr:colOff>
      <xdr:row>20</xdr:row>
      <xdr:rowOff>165099</xdr:rowOff>
    </xdr:to>
    <xdr:graphicFrame macro="">
      <xdr:nvGraphicFramePr>
        <xdr:cNvPr id="2" name="Chart 1">
          <a:extLst>
            <a:ext uri="{FF2B5EF4-FFF2-40B4-BE49-F238E27FC236}">
              <a16:creationId xmlns:a16="http://schemas.microsoft.com/office/drawing/2014/main" id="{69395518-10B1-4D27-A54D-F87005AC5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9</xdr:col>
      <xdr:colOff>596900</xdr:colOff>
      <xdr:row>42</xdr:row>
      <xdr:rowOff>31750</xdr:rowOff>
    </xdr:to>
    <xdr:graphicFrame macro="">
      <xdr:nvGraphicFramePr>
        <xdr:cNvPr id="3" name="Chart 2">
          <a:extLst>
            <a:ext uri="{FF2B5EF4-FFF2-40B4-BE49-F238E27FC236}">
              <a16:creationId xmlns:a16="http://schemas.microsoft.com/office/drawing/2014/main" id="{2818E40D-383B-49C0-B1BE-A8C77606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10</xdr:col>
      <xdr:colOff>0</xdr:colOff>
      <xdr:row>60</xdr:row>
      <xdr:rowOff>165100</xdr:rowOff>
    </xdr:to>
    <xdr:graphicFrame macro="">
      <xdr:nvGraphicFramePr>
        <xdr:cNvPr id="4" name="Chart 3">
          <a:extLst>
            <a:ext uri="{FF2B5EF4-FFF2-40B4-BE49-F238E27FC236}">
              <a16:creationId xmlns:a16="http://schemas.microsoft.com/office/drawing/2014/main" id="{0B4C4B69-F147-4A88-9CBA-A2CF75B43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10</xdr:col>
      <xdr:colOff>25400</xdr:colOff>
      <xdr:row>79</xdr:row>
      <xdr:rowOff>165100</xdr:rowOff>
    </xdr:to>
    <xdr:graphicFrame macro="">
      <xdr:nvGraphicFramePr>
        <xdr:cNvPr id="5" name="Chart 4">
          <a:extLst>
            <a:ext uri="{FF2B5EF4-FFF2-40B4-BE49-F238E27FC236}">
              <a16:creationId xmlns:a16="http://schemas.microsoft.com/office/drawing/2014/main" id="{9D77E2AF-214F-48F5-AB79-8144BAAA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84</xdr:row>
      <xdr:rowOff>0</xdr:rowOff>
    </xdr:from>
    <xdr:to>
      <xdr:col>10</xdr:col>
      <xdr:colOff>0</xdr:colOff>
      <xdr:row>101</xdr:row>
      <xdr:rowOff>37067</xdr:rowOff>
    </xdr:to>
    <xdr:graphicFrame macro="">
      <xdr:nvGraphicFramePr>
        <xdr:cNvPr id="6" name="Chart 5">
          <a:extLst>
            <a:ext uri="{FF2B5EF4-FFF2-40B4-BE49-F238E27FC236}">
              <a16:creationId xmlns:a16="http://schemas.microsoft.com/office/drawing/2014/main" id="{2711A3DA-6DF2-4620-92B2-8CF103224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126</xdr:row>
      <xdr:rowOff>0</xdr:rowOff>
    </xdr:from>
    <xdr:to>
      <xdr:col>9</xdr:col>
      <xdr:colOff>603250</xdr:colOff>
      <xdr:row>143</xdr:row>
      <xdr:rowOff>171450</xdr:rowOff>
    </xdr:to>
    <xdr:graphicFrame macro="">
      <xdr:nvGraphicFramePr>
        <xdr:cNvPr id="8" name="Chart 7">
          <a:extLst>
            <a:ext uri="{FF2B5EF4-FFF2-40B4-BE49-F238E27FC236}">
              <a16:creationId xmlns:a16="http://schemas.microsoft.com/office/drawing/2014/main" id="{B312FC0F-0EFE-41A1-918A-65E4C8CE8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105</xdr:row>
      <xdr:rowOff>12700</xdr:rowOff>
    </xdr:from>
    <xdr:to>
      <xdr:col>10</xdr:col>
      <xdr:colOff>31751</xdr:colOff>
      <xdr:row>123</xdr:row>
      <xdr:rowOff>12700</xdr:rowOff>
    </xdr:to>
    <xdr:graphicFrame macro="">
      <xdr:nvGraphicFramePr>
        <xdr:cNvPr id="9" name="Chart 8">
          <a:extLst>
            <a:ext uri="{FF2B5EF4-FFF2-40B4-BE49-F238E27FC236}">
              <a16:creationId xmlns:a16="http://schemas.microsoft.com/office/drawing/2014/main" id="{51D50DCE-81D7-4FE2-82AA-7C256E8A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ZMI RAJPUT" refreshedDate="45927.45889814815" createdVersion="8" refreshedVersion="8" minRefreshableVersion="3" recordCount="372" xr:uid="{F23E9362-F766-4470-B7A6-B25FA3C5B55B}">
  <cacheSource type="worksheet">
    <worksheetSource ref="A1:AH373" sheet="All_India_Index_Upto_April23 (1"/>
  </cacheSource>
  <cacheFields count="34">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Food Bucket" numFmtId="0">
      <sharedItems containsSemiMixedTypes="0" containsString="0" containsNumber="1" minValue="1371.6999999999998" maxValue="2335.1"/>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Clothing and Footwear bucket" numFmtId="0">
      <sharedItems containsSemiMixedTypes="0" containsString="0" containsNumber="1" minValue="316.7" maxValue="569.90000000000009"/>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ousing &amp; Household goods and services bucket" numFmtId="0">
      <sharedItems containsSemiMixedTypes="0" containsString="0" containsNumber="1" minValue="205.1" maxValue="355.4"/>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l care and effects" numFmtId="0">
      <sharedItems containsSemiMixedTypes="0" containsString="0" containsNumber="1" minValue="102.1" maxValue="185.6"/>
    </cacheField>
    <cacheField name="Health &amp; Personal care and effects bucket" numFmtId="0">
      <sharedItems containsSemiMixedTypes="0" containsString="0" containsNumber="1" minValue="207.8" maxValue="372.70000000000005"/>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175049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371.6999999999998"/>
    <n v="105.1"/>
    <n v="106.5"/>
    <n v="105.8"/>
    <n v="106.4"/>
    <n v="318.70000000000005"/>
    <n v="100.3"/>
    <n v="105.5"/>
    <n v="104.8"/>
    <n v="205.1"/>
    <n v="104"/>
    <n v="103.3"/>
    <n v="103.4"/>
    <n v="103.8"/>
    <n v="104.7"/>
    <n v="208.7"/>
    <n v="104"/>
    <n v="105.1"/>
  </r>
  <r>
    <x v="1"/>
    <x v="0"/>
    <x v="0"/>
    <n v="110.5"/>
    <n v="109.1"/>
    <n v="113"/>
    <n v="103.6"/>
    <n v="103.4"/>
    <n v="102.3"/>
    <n v="102.9"/>
    <n v="105.8"/>
    <n v="105.1"/>
    <n v="101.8"/>
    <n v="105.1"/>
    <n v="107.9"/>
    <n v="105.9"/>
    <n v="1376.4"/>
    <n v="105.2"/>
    <n v="105.9"/>
    <n v="105"/>
    <n v="105.8"/>
    <n v="316.7"/>
    <n v="100.3"/>
    <n v="105.4"/>
    <n v="104.8"/>
    <n v="205.1"/>
    <n v="104.1"/>
    <n v="103.2"/>
    <n v="102.9"/>
    <n v="103.5"/>
    <n v="104.3"/>
    <n v="208.39999999999998"/>
    <n v="103.7"/>
    <n v="104"/>
  </r>
  <r>
    <x v="2"/>
    <x v="0"/>
    <x v="0"/>
    <n v="108.4"/>
    <n v="107.3"/>
    <n v="110"/>
    <n v="104.4"/>
    <n v="105.1"/>
    <n v="103.2"/>
    <n v="102.2"/>
    <n v="106"/>
    <n v="106.2"/>
    <n v="102.7"/>
    <n v="104.9"/>
    <n v="107.3"/>
    <n v="105.6"/>
    <n v="1373.3000000000002"/>
    <n v="105.1"/>
    <n v="106.3"/>
    <n v="105.5"/>
    <n v="106.2"/>
    <n v="318"/>
    <n v="100.3"/>
    <n v="105.5"/>
    <n v="104.8"/>
    <n v="205.1"/>
    <n v="104"/>
    <n v="103.2"/>
    <n v="103.1"/>
    <n v="103.6"/>
    <n v="104.5"/>
    <n v="208.5"/>
    <n v="103.9"/>
    <n v="104.6"/>
  </r>
  <r>
    <x v="0"/>
    <x v="0"/>
    <x v="1"/>
    <n v="109.2"/>
    <n v="108.7"/>
    <n v="110.2"/>
    <n v="105.4"/>
    <n v="106.7"/>
    <n v="104"/>
    <n v="102.4"/>
    <n v="105.9"/>
    <n v="105.7"/>
    <n v="103.1"/>
    <n v="105.1"/>
    <n v="107.7"/>
    <n v="106.3"/>
    <n v="1380.3999999999999"/>
    <n v="105.6"/>
    <n v="107.1"/>
    <n v="106.3"/>
    <n v="107"/>
    <n v="320.39999999999998"/>
    <n v="100.4"/>
    <n v="106.2"/>
    <n v="105.2"/>
    <n v="205.60000000000002"/>
    <n v="104.4"/>
    <n v="103.9"/>
    <n v="104"/>
    <n v="104.1"/>
    <n v="104.6"/>
    <n v="209"/>
    <n v="104.4"/>
    <n v="105.8"/>
  </r>
  <r>
    <x v="1"/>
    <x v="0"/>
    <x v="1"/>
    <n v="112.9"/>
    <n v="112.9"/>
    <n v="116.9"/>
    <n v="104"/>
    <n v="103.5"/>
    <n v="103.1"/>
    <n v="104.9"/>
    <n v="104.1"/>
    <n v="103.8"/>
    <n v="102.3"/>
    <n v="106"/>
    <n v="109"/>
    <n v="107.2"/>
    <n v="1390.6000000000001"/>
    <n v="106"/>
    <n v="106.6"/>
    <n v="105.5"/>
    <n v="106.4"/>
    <n v="318.5"/>
    <n v="100.4"/>
    <n v="105.7"/>
    <n v="105.2"/>
    <n v="205.60000000000002"/>
    <n v="104.7"/>
    <n v="104.4"/>
    <n v="103.3"/>
    <n v="103.7"/>
    <n v="104.3"/>
    <n v="209"/>
    <n v="104.3"/>
    <n v="104.7"/>
  </r>
  <r>
    <x v="2"/>
    <x v="0"/>
    <x v="1"/>
    <n v="110.4"/>
    <n v="110.2"/>
    <n v="112.8"/>
    <n v="104.9"/>
    <n v="105.5"/>
    <n v="103.6"/>
    <n v="103.2"/>
    <n v="105.3"/>
    <n v="105.1"/>
    <n v="102.8"/>
    <n v="105.5"/>
    <n v="108.3"/>
    <n v="106.6"/>
    <n v="1384.2"/>
    <n v="105.7"/>
    <n v="106.9"/>
    <n v="106"/>
    <n v="106.8"/>
    <n v="319.7"/>
    <n v="100.4"/>
    <n v="106"/>
    <n v="105.2"/>
    <n v="205.60000000000002"/>
    <n v="104.5"/>
    <n v="104.2"/>
    <n v="103.6"/>
    <n v="103.9"/>
    <n v="104.5"/>
    <n v="209"/>
    <n v="104.4"/>
    <n v="105.3"/>
  </r>
  <r>
    <x v="0"/>
    <x v="0"/>
    <x v="2"/>
    <n v="110.2"/>
    <n v="108.8"/>
    <n v="109.9"/>
    <n v="105.6"/>
    <n v="106.2"/>
    <n v="105.7"/>
    <n v="101.4"/>
    <n v="105.7"/>
    <n v="105"/>
    <n v="103.3"/>
    <n v="105.6"/>
    <n v="108.2"/>
    <n v="106.6"/>
    <n v="1382.2"/>
    <n v="106.5"/>
    <n v="107.6"/>
    <n v="106.8"/>
    <n v="107.5"/>
    <n v="321.89999999999998"/>
    <n v="100.4"/>
    <n v="106.1"/>
    <n v="105.6"/>
    <n v="206"/>
    <n v="104.7"/>
    <n v="104.6"/>
    <n v="104"/>
    <n v="104.3"/>
    <n v="104.3"/>
    <n v="209"/>
    <n v="104.6"/>
    <n v="106"/>
  </r>
  <r>
    <x v="1"/>
    <x v="0"/>
    <x v="2"/>
    <n v="113.9"/>
    <n v="111.4"/>
    <n v="113.2"/>
    <n v="104.3"/>
    <n v="102.7"/>
    <n v="104.9"/>
    <n v="103.8"/>
    <n v="103.5"/>
    <n v="102.6"/>
    <n v="102.4"/>
    <n v="107"/>
    <n v="109.8"/>
    <n v="107.3"/>
    <n v="1386.8"/>
    <n v="106.8"/>
    <n v="107.2"/>
    <n v="106"/>
    <n v="107"/>
    <n v="320.2"/>
    <n v="100.4"/>
    <n v="106"/>
    <n v="105.7"/>
    <n v="206.10000000000002"/>
    <n v="105.2"/>
    <n v="105.5"/>
    <n v="103.5"/>
    <n v="103.8"/>
    <n v="104.2"/>
    <n v="209.4"/>
    <n v="104.9"/>
    <n v="105"/>
  </r>
  <r>
    <x v="2"/>
    <x v="0"/>
    <x v="2"/>
    <n v="111.4"/>
    <n v="109.7"/>
    <n v="111.2"/>
    <n v="105.1"/>
    <n v="104.9"/>
    <n v="105.3"/>
    <n v="102.2"/>
    <n v="105"/>
    <n v="104.2"/>
    <n v="103"/>
    <n v="106.2"/>
    <n v="108.9"/>
    <n v="106.9"/>
    <n v="1384.0000000000002"/>
    <n v="106.6"/>
    <n v="107.4"/>
    <n v="106.5"/>
    <n v="107.3"/>
    <n v="321.2"/>
    <n v="100.4"/>
    <n v="106.1"/>
    <n v="105.6"/>
    <n v="206"/>
    <n v="104.9"/>
    <n v="105.1"/>
    <n v="103.7"/>
    <n v="104"/>
    <n v="104.3"/>
    <n v="209.2"/>
    <n v="104.7"/>
    <n v="105.5"/>
  </r>
  <r>
    <x v="0"/>
    <x v="0"/>
    <x v="3"/>
    <n v="110.2"/>
    <n v="109.5"/>
    <n v="106.9"/>
    <n v="106.3"/>
    <n v="105.7"/>
    <n v="108.3"/>
    <n v="103.4"/>
    <n v="105.7"/>
    <n v="104.2"/>
    <n v="103.2"/>
    <n v="106.5"/>
    <n v="108.8"/>
    <n v="107.1"/>
    <n v="1385.8"/>
    <n v="107.1"/>
    <n v="108.1"/>
    <n v="107.4"/>
    <n v="108"/>
    <n v="323.5"/>
    <n v="100.5"/>
    <n v="106.5"/>
    <n v="106.1"/>
    <n v="206.6"/>
    <n v="105.1"/>
    <n v="104.4"/>
    <n v="104.5"/>
    <n v="104.8"/>
    <n v="102.7"/>
    <n v="207.8"/>
    <n v="104.6"/>
    <n v="106.4"/>
  </r>
  <r>
    <x v="1"/>
    <x v="0"/>
    <x v="3"/>
    <n v="114.6"/>
    <n v="113.4"/>
    <n v="106"/>
    <n v="104.7"/>
    <n v="102.1"/>
    <n v="109.5"/>
    <n v="109.7"/>
    <n v="104.6"/>
    <n v="102"/>
    <n v="103.5"/>
    <n v="108.2"/>
    <n v="110.6"/>
    <n v="108.8"/>
    <n v="1397.6999999999998"/>
    <n v="108.5"/>
    <n v="107.9"/>
    <n v="106.4"/>
    <n v="107.7"/>
    <n v="322"/>
    <n v="100.5"/>
    <n v="106.4"/>
    <n v="106.5"/>
    <n v="207"/>
    <n v="105.7"/>
    <n v="105"/>
    <n v="104"/>
    <n v="105.2"/>
    <n v="103.2"/>
    <n v="208.9"/>
    <n v="105.1"/>
    <n v="105.7"/>
  </r>
  <r>
    <x v="2"/>
    <x v="0"/>
    <x v="3"/>
    <n v="111.6"/>
    <n v="110.9"/>
    <n v="106.6"/>
    <n v="105.7"/>
    <n v="104.4"/>
    <n v="108.9"/>
    <n v="105.5"/>
    <n v="105.3"/>
    <n v="103.5"/>
    <n v="103.3"/>
    <n v="107.2"/>
    <n v="109.6"/>
    <n v="107.7"/>
    <n v="1390.2"/>
    <n v="107.5"/>
    <n v="108"/>
    <n v="107"/>
    <n v="107.9"/>
    <n v="322.89999999999998"/>
    <n v="100.5"/>
    <n v="106.5"/>
    <n v="106.3"/>
    <n v="206.8"/>
    <n v="105.3"/>
    <n v="104.7"/>
    <n v="104.2"/>
    <n v="105"/>
    <n v="102.9"/>
    <n v="208.2"/>
    <n v="104.8"/>
    <n v="106.1"/>
  </r>
  <r>
    <x v="0"/>
    <x v="0"/>
    <x v="4"/>
    <n v="110.9"/>
    <n v="109.8"/>
    <n v="105.9"/>
    <n v="107.5"/>
    <n v="105.3"/>
    <n v="108.1"/>
    <n v="107.3"/>
    <n v="106.1"/>
    <n v="103.7"/>
    <n v="104"/>
    <n v="107.4"/>
    <n v="109.9"/>
    <n v="108.1"/>
    <n v="1394"/>
    <n v="108.1"/>
    <n v="108.8"/>
    <n v="107.9"/>
    <n v="108.6"/>
    <n v="325.29999999999995"/>
    <n v="100.5"/>
    <n v="107.5"/>
    <n v="106.8"/>
    <n v="207.3"/>
    <n v="105.7"/>
    <n v="104.1"/>
    <n v="105"/>
    <n v="105.5"/>
    <n v="102.1"/>
    <n v="207.8"/>
    <n v="104.8"/>
    <n v="107.2"/>
  </r>
  <r>
    <x v="1"/>
    <x v="0"/>
    <x v="4"/>
    <n v="115.4"/>
    <n v="114.2"/>
    <n v="102.7"/>
    <n v="105.5"/>
    <n v="101.5"/>
    <n v="110.6"/>
    <n v="123.7"/>
    <n v="105.2"/>
    <n v="101.9"/>
    <n v="105"/>
    <n v="109.1"/>
    <n v="111.3"/>
    <n v="111.1"/>
    <n v="1417.1999999999998"/>
    <n v="109.8"/>
    <n v="108.5"/>
    <n v="106.7"/>
    <n v="108.3"/>
    <n v="323.5"/>
    <n v="100.5"/>
    <n v="107.2"/>
    <n v="107.1"/>
    <n v="207.6"/>
    <n v="106.2"/>
    <n v="103.9"/>
    <n v="104.6"/>
    <n v="105.7"/>
    <n v="102.6"/>
    <n v="208.8"/>
    <n v="104.9"/>
    <n v="106.6"/>
  </r>
  <r>
    <x v="2"/>
    <x v="0"/>
    <x v="4"/>
    <n v="112.3"/>
    <n v="111.3"/>
    <n v="104.7"/>
    <n v="106.8"/>
    <n v="103.9"/>
    <n v="109.3"/>
    <n v="112.9"/>
    <n v="105.8"/>
    <n v="103.1"/>
    <n v="104.3"/>
    <n v="108.1"/>
    <n v="110.5"/>
    <n v="109.2"/>
    <n v="1402.1999999999998"/>
    <n v="108.6"/>
    <n v="108.7"/>
    <n v="107.4"/>
    <n v="108.5"/>
    <n v="324.60000000000002"/>
    <n v="100.5"/>
    <n v="107.4"/>
    <n v="106.9"/>
    <n v="207.4"/>
    <n v="105.9"/>
    <n v="104"/>
    <n v="104.8"/>
    <n v="105.6"/>
    <n v="102.3"/>
    <n v="208.2"/>
    <n v="104.8"/>
    <n v="106.9"/>
  </r>
  <r>
    <x v="0"/>
    <x v="0"/>
    <x v="5"/>
    <n v="112.3"/>
    <n v="112.1"/>
    <n v="108.1"/>
    <n v="108.3"/>
    <n v="105.9"/>
    <n v="109.2"/>
    <n v="118"/>
    <n v="106.8"/>
    <n v="104.1"/>
    <n v="105.4"/>
    <n v="108.2"/>
    <n v="111"/>
    <n v="110.6"/>
    <n v="1420"/>
    <n v="109"/>
    <n v="109.7"/>
    <n v="108.8"/>
    <n v="109.5"/>
    <n v="328"/>
    <n v="106.6"/>
    <n v="108.5"/>
    <n v="107.5"/>
    <n v="214.1"/>
    <n v="106.3"/>
    <n v="105"/>
    <n v="105.6"/>
    <n v="106.5"/>
    <n v="102.5"/>
    <n v="208.8"/>
    <n v="105.5"/>
    <n v="108.9"/>
  </r>
  <r>
    <x v="1"/>
    <x v="0"/>
    <x v="5"/>
    <n v="117"/>
    <n v="120.1"/>
    <n v="112.5"/>
    <n v="107.3"/>
    <n v="101.3"/>
    <n v="112.4"/>
    <n v="143.6"/>
    <n v="105.4"/>
    <n v="101.4"/>
    <n v="106.4"/>
    <n v="110"/>
    <n v="112.2"/>
    <n v="115"/>
    <n v="1464.6000000000001"/>
    <n v="110.9"/>
    <n v="109.2"/>
    <n v="107.2"/>
    <n v="108.9"/>
    <n v="325.3"/>
    <n v="106.6"/>
    <n v="108"/>
    <n v="107.7"/>
    <n v="214.3"/>
    <n v="106.5"/>
    <n v="105.2"/>
    <n v="105.2"/>
    <n v="108.1"/>
    <n v="103.3"/>
    <n v="209.8"/>
    <n v="106.1"/>
    <n v="109.7"/>
  </r>
  <r>
    <x v="2"/>
    <x v="0"/>
    <x v="5"/>
    <n v="113.8"/>
    <n v="114.9"/>
    <n v="109.8"/>
    <n v="107.9"/>
    <n v="104.2"/>
    <n v="110.7"/>
    <n v="126.7"/>
    <n v="106.3"/>
    <n v="103.2"/>
    <n v="105.7"/>
    <n v="109"/>
    <n v="111.6"/>
    <n v="112.2"/>
    <n v="1436"/>
    <n v="109.5"/>
    <n v="109.5"/>
    <n v="108.1"/>
    <n v="109.3"/>
    <n v="326.89999999999998"/>
    <n v="106.6"/>
    <n v="108.3"/>
    <n v="107.6"/>
    <n v="214.2"/>
    <n v="106.4"/>
    <n v="105.1"/>
    <n v="105.4"/>
    <n v="107.4"/>
    <n v="102.8"/>
    <n v="209.2"/>
    <n v="105.8"/>
    <n v="109.3"/>
  </r>
  <r>
    <x v="0"/>
    <x v="0"/>
    <x v="6"/>
    <n v="113.4"/>
    <n v="114.9"/>
    <n v="110.5"/>
    <n v="109.3"/>
    <n v="106.2"/>
    <n v="110.3"/>
    <n v="129.19999999999999"/>
    <n v="107.1"/>
    <n v="104.3"/>
    <n v="106.4"/>
    <n v="109.1"/>
    <n v="112.1"/>
    <n v="113.1"/>
    <n v="1445.8999999999996"/>
    <n v="109.8"/>
    <n v="110.5"/>
    <n v="109.5"/>
    <n v="110.3"/>
    <n v="330.3"/>
    <n v="107.7"/>
    <n v="109.5"/>
    <n v="108.3"/>
    <n v="216"/>
    <n v="106.9"/>
    <n v="106.8"/>
    <n v="106.4"/>
    <n v="107.8"/>
    <n v="102.5"/>
    <n v="209.4"/>
    <n v="106.5"/>
    <n v="110.7"/>
  </r>
  <r>
    <x v="1"/>
    <x v="0"/>
    <x v="6"/>
    <n v="117.8"/>
    <n v="119.2"/>
    <n v="114"/>
    <n v="108.3"/>
    <n v="101.1"/>
    <n v="113.2"/>
    <n v="160.9"/>
    <n v="105.1"/>
    <n v="101.3"/>
    <n v="107.5"/>
    <n v="110.4"/>
    <n v="113.1"/>
    <n v="117.5"/>
    <n v="1489.4"/>
    <n v="111.7"/>
    <n v="109.8"/>
    <n v="107.8"/>
    <n v="109.5"/>
    <n v="327.10000000000002"/>
    <n v="107.7"/>
    <n v="108.6"/>
    <n v="108.1"/>
    <n v="215.8"/>
    <n v="107.1"/>
    <n v="107.3"/>
    <n v="105.9"/>
    <n v="110.1"/>
    <n v="103.2"/>
    <n v="210.3"/>
    <n v="107.3"/>
    <n v="111.4"/>
  </r>
  <r>
    <x v="2"/>
    <x v="0"/>
    <x v="6"/>
    <n v="114.8"/>
    <n v="116.4"/>
    <n v="111.9"/>
    <n v="108.9"/>
    <n v="104.3"/>
    <n v="111.7"/>
    <n v="140"/>
    <n v="106.4"/>
    <n v="103.3"/>
    <n v="106.8"/>
    <n v="109.6"/>
    <n v="112.6"/>
    <n v="114.7"/>
    <n v="1461.3999999999999"/>
    <n v="110.3"/>
    <n v="110.2"/>
    <n v="108.8"/>
    <n v="110"/>
    <n v="329"/>
    <n v="107.7"/>
    <n v="109.2"/>
    <n v="108.2"/>
    <n v="215.9"/>
    <n v="107"/>
    <n v="107.1"/>
    <n v="106.1"/>
    <n v="109.1"/>
    <n v="102.8"/>
    <n v="209.8"/>
    <n v="106.9"/>
    <n v="111"/>
  </r>
  <r>
    <x v="0"/>
    <x v="0"/>
    <x v="7"/>
    <n v="114.3"/>
    <n v="115.4"/>
    <n v="111.1"/>
    <n v="110"/>
    <n v="106.4"/>
    <n v="110.8"/>
    <n v="138.9"/>
    <n v="107.4"/>
    <n v="104.1"/>
    <n v="106.9"/>
    <n v="109.7"/>
    <n v="112.6"/>
    <n v="114.9"/>
    <n v="1462.5"/>
    <n v="110.7"/>
    <n v="111.3"/>
    <n v="110.2"/>
    <n v="111.1"/>
    <n v="332.6"/>
    <n v="108.9"/>
    <n v="109.9"/>
    <n v="108.7"/>
    <n v="217.60000000000002"/>
    <n v="107.5"/>
    <n v="107.8"/>
    <n v="106.8"/>
    <n v="108.7"/>
    <n v="105"/>
    <n v="212.5"/>
    <n v="107.5"/>
    <n v="112.1"/>
  </r>
  <r>
    <x v="1"/>
    <x v="0"/>
    <x v="7"/>
    <n v="118.3"/>
    <n v="120.4"/>
    <n v="112.7"/>
    <n v="108.9"/>
    <n v="101.1"/>
    <n v="108.7"/>
    <n v="177"/>
    <n v="104.7"/>
    <n v="101"/>
    <n v="108.5"/>
    <n v="110.9"/>
    <n v="114.3"/>
    <n v="119.6"/>
    <n v="1506.1000000000001"/>
    <n v="112.4"/>
    <n v="110.6"/>
    <n v="108.3"/>
    <n v="110.2"/>
    <n v="329.09999999999997"/>
    <n v="108.9"/>
    <n v="109.3"/>
    <n v="108.7"/>
    <n v="217.60000000000002"/>
    <n v="107.6"/>
    <n v="108.1"/>
    <n v="106.5"/>
    <n v="110.8"/>
    <n v="106"/>
    <n v="213.6"/>
    <n v="108.3"/>
    <n v="112.7"/>
  </r>
  <r>
    <x v="2"/>
    <x v="0"/>
    <x v="7"/>
    <n v="115.6"/>
    <n v="117.2"/>
    <n v="111.7"/>
    <n v="109.6"/>
    <n v="104.5"/>
    <n v="109.8"/>
    <n v="151.80000000000001"/>
    <n v="106.5"/>
    <n v="103.1"/>
    <n v="107.4"/>
    <n v="110.2"/>
    <n v="113.4"/>
    <n v="116.6"/>
    <n v="1477.4"/>
    <n v="111.2"/>
    <n v="111"/>
    <n v="109.4"/>
    <n v="110.7"/>
    <n v="331.1"/>
    <n v="108.9"/>
    <n v="109.7"/>
    <n v="108.7"/>
    <n v="217.60000000000002"/>
    <n v="107.5"/>
    <n v="108"/>
    <n v="106.6"/>
    <n v="109.9"/>
    <n v="105.4"/>
    <n v="212.9"/>
    <n v="107.9"/>
    <n v="112.4"/>
  </r>
  <r>
    <x v="0"/>
    <x v="0"/>
    <x v="8"/>
    <n v="115.4"/>
    <n v="115.7"/>
    <n v="111.7"/>
    <n v="111"/>
    <n v="107.4"/>
    <n v="110.9"/>
    <n v="154"/>
    <n v="108.1"/>
    <n v="104.2"/>
    <n v="107.9"/>
    <n v="110.4"/>
    <n v="114"/>
    <n v="117.8"/>
    <n v="1488.5000000000002"/>
    <n v="111.7"/>
    <n v="112.7"/>
    <n v="111.4"/>
    <n v="112.5"/>
    <n v="336.6"/>
    <n v="109.7"/>
    <n v="111.1"/>
    <n v="109.6"/>
    <n v="219.3"/>
    <n v="108.3"/>
    <n v="109.3"/>
    <n v="107.7"/>
    <n v="109.8"/>
    <n v="106.7"/>
    <n v="215"/>
    <n v="108.7"/>
    <n v="114.2"/>
  </r>
  <r>
    <x v="1"/>
    <x v="0"/>
    <x v="8"/>
    <n v="118.6"/>
    <n v="119.1"/>
    <n v="113.2"/>
    <n v="109.6"/>
    <n v="101.7"/>
    <n v="103.2"/>
    <n v="174.3"/>
    <n v="105.1"/>
    <n v="100.8"/>
    <n v="109.1"/>
    <n v="111.1"/>
    <n v="115.4"/>
    <n v="119.2"/>
    <n v="1500.4"/>
    <n v="112.9"/>
    <n v="111.4"/>
    <n v="109"/>
    <n v="111.1"/>
    <n v="331.5"/>
    <n v="109.7"/>
    <n v="109.5"/>
    <n v="109.6"/>
    <n v="219.3"/>
    <n v="107.9"/>
    <n v="110.4"/>
    <n v="107.4"/>
    <n v="111.2"/>
    <n v="106.9"/>
    <n v="214.8"/>
    <n v="109.4"/>
    <n v="113.2"/>
  </r>
  <r>
    <x v="2"/>
    <x v="0"/>
    <x v="8"/>
    <n v="116.4"/>
    <n v="116.9"/>
    <n v="112.3"/>
    <n v="110.5"/>
    <n v="105.3"/>
    <n v="107.3"/>
    <n v="160.9"/>
    <n v="107.1"/>
    <n v="103.1"/>
    <n v="108.3"/>
    <n v="110.7"/>
    <n v="114.6"/>
    <n v="118.3"/>
    <n v="1491.6999999999998"/>
    <n v="112"/>
    <n v="112.2"/>
    <n v="110.4"/>
    <n v="111.9"/>
    <n v="334.5"/>
    <n v="109.7"/>
    <n v="110.5"/>
    <n v="109.6"/>
    <n v="219.3"/>
    <n v="108.1"/>
    <n v="109.9"/>
    <n v="107.5"/>
    <n v="110.6"/>
    <n v="106.8"/>
    <n v="214.89999999999998"/>
    <n v="109"/>
    <n v="113.7"/>
  </r>
  <r>
    <x v="0"/>
    <x v="0"/>
    <x v="9"/>
    <n v="116.3"/>
    <n v="115.4"/>
    <n v="112.6"/>
    <n v="111.7"/>
    <n v="107.7"/>
    <n v="113.2"/>
    <n v="164.9"/>
    <n v="108.3"/>
    <n v="103.9"/>
    <n v="108.2"/>
    <n v="111.1"/>
    <n v="114.9"/>
    <n v="119.8"/>
    <n v="1508"/>
    <n v="112.2"/>
    <n v="113.6"/>
    <n v="112.3"/>
    <n v="113.4"/>
    <n v="339.29999999999995"/>
    <n v="110.5"/>
    <n v="111.6"/>
    <n v="110.4"/>
    <n v="220.9"/>
    <n v="108.9"/>
    <n v="109.3"/>
    <n v="108.3"/>
    <n v="110.2"/>
    <n v="107.5"/>
    <n v="216.4"/>
    <n v="109.1"/>
    <n v="115.5"/>
  </r>
  <r>
    <x v="1"/>
    <x v="0"/>
    <x v="9"/>
    <n v="118.9"/>
    <n v="118.1"/>
    <n v="114.5"/>
    <n v="110.4"/>
    <n v="102.3"/>
    <n v="106.2"/>
    <n v="183.5"/>
    <n v="105.3"/>
    <n v="100.2"/>
    <n v="109.6"/>
    <n v="111.4"/>
    <n v="116"/>
    <n v="120.8"/>
    <n v="1517.1999999999998"/>
    <n v="113.5"/>
    <n v="112.5"/>
    <n v="109.7"/>
    <n v="112"/>
    <n v="334.2"/>
    <n v="110.5"/>
    <n v="109.7"/>
    <n v="110.2"/>
    <n v="220.7"/>
    <n v="108.2"/>
    <n v="109.7"/>
    <n v="108"/>
    <n v="111.3"/>
    <n v="107.3"/>
    <n v="215.5"/>
    <n v="109.4"/>
    <n v="114"/>
  </r>
  <r>
    <x v="2"/>
    <x v="0"/>
    <x v="9"/>
    <n v="117.1"/>
    <n v="116.3"/>
    <n v="113.3"/>
    <n v="111.2"/>
    <n v="105.7"/>
    <n v="109.9"/>
    <n v="171.2"/>
    <n v="107.3"/>
    <n v="102.7"/>
    <n v="108.7"/>
    <n v="111.2"/>
    <n v="115.4"/>
    <n v="120.2"/>
    <n v="1510.2000000000003"/>
    <n v="112.5"/>
    <n v="113.2"/>
    <n v="111.2"/>
    <n v="112.8"/>
    <n v="337.2"/>
    <n v="110.5"/>
    <n v="110.9"/>
    <n v="110.3"/>
    <n v="220.8"/>
    <n v="108.6"/>
    <n v="109.5"/>
    <n v="108.1"/>
    <n v="110.8"/>
    <n v="107.4"/>
    <n v="216"/>
    <n v="109.2"/>
    <n v="114.8"/>
  </r>
  <r>
    <x v="0"/>
    <x v="0"/>
    <x v="10"/>
    <n v="117.3"/>
    <n v="114.9"/>
    <n v="116.2"/>
    <n v="112.8"/>
    <n v="108.9"/>
    <n v="116.6"/>
    <n v="178.1"/>
    <n v="109.1"/>
    <n v="103.6"/>
    <n v="109"/>
    <n v="111.8"/>
    <n v="116"/>
    <n v="122.5"/>
    <n v="1536.8"/>
    <n v="112.8"/>
    <n v="114.6"/>
    <n v="113.1"/>
    <n v="114.4"/>
    <n v="342.1"/>
    <n v="111.1"/>
    <n v="112.6"/>
    <n v="111.3"/>
    <n v="222.39999999999998"/>
    <n v="109.7"/>
    <n v="109.6"/>
    <n v="108.7"/>
    <n v="111"/>
    <n v="108.2"/>
    <n v="217.9"/>
    <n v="109.8"/>
    <n v="117.4"/>
  </r>
  <r>
    <x v="1"/>
    <x v="0"/>
    <x v="11"/>
    <n v="119.8"/>
    <n v="116.3"/>
    <n v="122.6"/>
    <n v="112"/>
    <n v="103.2"/>
    <n v="110"/>
    <n v="192.8"/>
    <n v="106.3"/>
    <n v="99.5"/>
    <n v="110.3"/>
    <n v="111.8"/>
    <n v="117.1"/>
    <n v="122.9"/>
    <n v="1544.6"/>
    <n v="114.1"/>
    <n v="113.5"/>
    <n v="110.3"/>
    <n v="113"/>
    <n v="336.8"/>
    <n v="111.1"/>
    <n v="110"/>
    <n v="110.9"/>
    <n v="222"/>
    <n v="108.6"/>
    <n v="109.5"/>
    <n v="108.5"/>
    <n v="111.3"/>
    <n v="107.9"/>
    <n v="216.5"/>
    <n v="109.6"/>
    <n v="115"/>
  </r>
  <r>
    <x v="2"/>
    <x v="0"/>
    <x v="11"/>
    <n v="118.1"/>
    <n v="115.4"/>
    <n v="118.7"/>
    <n v="112.5"/>
    <n v="106.8"/>
    <n v="113.5"/>
    <n v="183.1"/>
    <n v="108.2"/>
    <n v="102.2"/>
    <n v="109.4"/>
    <n v="111.8"/>
    <n v="116.5"/>
    <n v="122.6"/>
    <n v="1538.8"/>
    <n v="113.1"/>
    <n v="114.2"/>
    <n v="111.9"/>
    <n v="113.8"/>
    <n v="339.90000000000003"/>
    <n v="111.1"/>
    <n v="111.6"/>
    <n v="111.1"/>
    <n v="222.2"/>
    <n v="109.3"/>
    <n v="109.5"/>
    <n v="108.6"/>
    <n v="111.2"/>
    <n v="108.1"/>
    <n v="217.39999999999998"/>
    <n v="109.7"/>
    <n v="116.3"/>
  </r>
  <r>
    <x v="0"/>
    <x v="0"/>
    <x v="12"/>
    <n v="118.4"/>
    <n v="115.9"/>
    <n v="120.4"/>
    <n v="113.8"/>
    <n v="109.5"/>
    <n v="115.5"/>
    <n v="145.69999999999999"/>
    <n v="109.5"/>
    <n v="102.9"/>
    <n v="109.8"/>
    <n v="112.1"/>
    <n v="116.8"/>
    <n v="118.7"/>
    <n v="1509"/>
    <n v="113.6"/>
    <n v="115.8"/>
    <n v="114"/>
    <n v="115.5"/>
    <n v="345.3"/>
    <n v="110.7"/>
    <n v="112.8"/>
    <n v="112.1"/>
    <n v="222.8"/>
    <n v="110.1"/>
    <n v="109.9"/>
    <n v="109.2"/>
    <n v="111.6"/>
    <n v="108.1"/>
    <n v="218.2"/>
    <n v="110.1"/>
    <n v="115.5"/>
  </r>
  <r>
    <x v="1"/>
    <x v="0"/>
    <x v="12"/>
    <n v="120.5"/>
    <n v="118.1"/>
    <n v="128.5"/>
    <n v="112.8"/>
    <n v="103.4"/>
    <n v="110.7"/>
    <n v="144.80000000000001"/>
    <n v="107.1"/>
    <n v="98.6"/>
    <n v="111.9"/>
    <n v="112.1"/>
    <n v="118.1"/>
    <n v="117.8"/>
    <n v="1504.4"/>
    <n v="115"/>
    <n v="114.2"/>
    <n v="110.9"/>
    <n v="113.7"/>
    <n v="338.8"/>
    <n v="110.7"/>
    <n v="110.4"/>
    <n v="111.3"/>
    <n v="222"/>
    <n v="109"/>
    <n v="109.7"/>
    <n v="108.9"/>
    <n v="111.4"/>
    <n v="107.7"/>
    <n v="216.7"/>
    <n v="109.8"/>
    <n v="113.3"/>
  </r>
  <r>
    <x v="2"/>
    <x v="0"/>
    <x v="12"/>
    <n v="119.1"/>
    <n v="116.7"/>
    <n v="123.5"/>
    <n v="113.4"/>
    <n v="107.3"/>
    <n v="113.3"/>
    <n v="145.4"/>
    <n v="108.7"/>
    <n v="101.5"/>
    <n v="110.5"/>
    <n v="112.1"/>
    <n v="117.4"/>
    <n v="118.4"/>
    <n v="1507.3000000000002"/>
    <n v="114"/>
    <n v="115.2"/>
    <n v="112.7"/>
    <n v="114.8"/>
    <n v="342.7"/>
    <n v="110.7"/>
    <n v="111.9"/>
    <n v="111.7"/>
    <n v="222.4"/>
    <n v="109.7"/>
    <n v="109.8"/>
    <n v="109"/>
    <n v="111.5"/>
    <n v="107.9"/>
    <n v="217.60000000000002"/>
    <n v="110"/>
    <n v="114.5"/>
  </r>
  <r>
    <x v="0"/>
    <x v="1"/>
    <x v="0"/>
    <n v="118.9"/>
    <n v="117.1"/>
    <n v="120.5"/>
    <n v="114.4"/>
    <n v="109"/>
    <n v="115.5"/>
    <n v="123.9"/>
    <n v="109.6"/>
    <n v="101.8"/>
    <n v="110.2"/>
    <n v="112.4"/>
    <n v="117.3"/>
    <n v="116"/>
    <n v="1486.6000000000001"/>
    <n v="114"/>
    <n v="116.5"/>
    <n v="114.5"/>
    <n v="116.2"/>
    <n v="347.2"/>
    <n v="111.6"/>
    <n v="113"/>
    <n v="112.6"/>
    <n v="224.2"/>
    <n v="110.6"/>
    <n v="110.5"/>
    <n v="109.6"/>
    <n v="111.8"/>
    <n v="108.3"/>
    <n v="218.89999999999998"/>
    <n v="110.6"/>
    <n v="114.2"/>
  </r>
  <r>
    <x v="1"/>
    <x v="1"/>
    <x v="0"/>
    <n v="121.2"/>
    <n v="122"/>
    <n v="129.9"/>
    <n v="113.6"/>
    <n v="102.9"/>
    <n v="112.1"/>
    <n v="118.9"/>
    <n v="107.5"/>
    <n v="96.9"/>
    <n v="112.7"/>
    <n v="112.1"/>
    <n v="119"/>
    <n v="115.5"/>
    <n v="1484.3"/>
    <n v="115.7"/>
    <n v="114.8"/>
    <n v="111.3"/>
    <n v="114.3"/>
    <n v="340.4"/>
    <n v="111.6"/>
    <n v="111"/>
    <n v="111.9"/>
    <n v="223.5"/>
    <n v="109.7"/>
    <n v="110.8"/>
    <n v="109.8"/>
    <n v="111.5"/>
    <n v="108"/>
    <n v="217.7"/>
    <n v="110.5"/>
    <n v="112.9"/>
  </r>
  <r>
    <x v="2"/>
    <x v="1"/>
    <x v="0"/>
    <n v="119.6"/>
    <n v="118.8"/>
    <n v="124.1"/>
    <n v="114.1"/>
    <n v="106.8"/>
    <n v="113.9"/>
    <n v="122.2"/>
    <n v="108.9"/>
    <n v="100.2"/>
    <n v="111"/>
    <n v="112.3"/>
    <n v="118.1"/>
    <n v="115.8"/>
    <n v="1485.7999999999997"/>
    <n v="114.5"/>
    <n v="115.8"/>
    <n v="113.2"/>
    <n v="115.4"/>
    <n v="344.4"/>
    <n v="111.6"/>
    <n v="112.2"/>
    <n v="112.3"/>
    <n v="223.89999999999998"/>
    <n v="110.3"/>
    <n v="110.7"/>
    <n v="109.7"/>
    <n v="111.6"/>
    <n v="108.2"/>
    <n v="218.5"/>
    <n v="110.6"/>
    <n v="113.6"/>
  </r>
  <r>
    <x v="0"/>
    <x v="1"/>
    <x v="1"/>
    <n v="119.4"/>
    <n v="117.7"/>
    <n v="121.2"/>
    <n v="115"/>
    <n v="109"/>
    <n v="116.6"/>
    <n v="116"/>
    <n v="109.8"/>
    <n v="101.1"/>
    <n v="110.4"/>
    <n v="112.9"/>
    <n v="117.8"/>
    <n v="115.3"/>
    <n v="1482.2"/>
    <n v="114.2"/>
    <n v="117.1"/>
    <n v="114.5"/>
    <n v="116.7"/>
    <n v="348.3"/>
    <n v="112.5"/>
    <n v="113.2"/>
    <n v="112.9"/>
    <n v="225.4"/>
    <n v="110.9"/>
    <n v="110.8"/>
    <n v="109.9"/>
    <n v="112"/>
    <n v="108.7"/>
    <n v="219.60000000000002"/>
    <n v="110.9"/>
    <n v="114"/>
  </r>
  <r>
    <x v="1"/>
    <x v="1"/>
    <x v="1"/>
    <n v="121.9"/>
    <n v="122"/>
    <n v="124.5"/>
    <n v="115.2"/>
    <n v="102.5"/>
    <n v="114.1"/>
    <n v="111.5"/>
    <n v="108.2"/>
    <n v="95.4"/>
    <n v="113.5"/>
    <n v="112.1"/>
    <n v="119.9"/>
    <n v="115.2"/>
    <n v="1476"/>
    <n v="116.2"/>
    <n v="115.3"/>
    <n v="111.7"/>
    <n v="114.7"/>
    <n v="341.7"/>
    <n v="112.5"/>
    <n v="111.1"/>
    <n v="112.6"/>
    <n v="225.1"/>
    <n v="110.4"/>
    <n v="111.3"/>
    <n v="110.3"/>
    <n v="111.6"/>
    <n v="108.7"/>
    <n v="219.10000000000002"/>
    <n v="111"/>
    <n v="113.1"/>
  </r>
  <r>
    <x v="2"/>
    <x v="1"/>
    <x v="1"/>
    <n v="120.2"/>
    <n v="119.2"/>
    <n v="122.5"/>
    <n v="115.1"/>
    <n v="106.6"/>
    <n v="115.4"/>
    <n v="114.5"/>
    <n v="109.3"/>
    <n v="99.2"/>
    <n v="111.4"/>
    <n v="112.6"/>
    <n v="118.8"/>
    <n v="115.3"/>
    <n v="1480.1"/>
    <n v="114.7"/>
    <n v="116.4"/>
    <n v="113.3"/>
    <n v="115.9"/>
    <n v="345.6"/>
    <n v="112.5"/>
    <n v="112.4"/>
    <n v="112.8"/>
    <n v="225.3"/>
    <n v="110.7"/>
    <n v="111.1"/>
    <n v="110.1"/>
    <n v="111.8"/>
    <n v="108.7"/>
    <n v="219.4"/>
    <n v="110.9"/>
    <n v="113.6"/>
  </r>
  <r>
    <x v="0"/>
    <x v="1"/>
    <x v="2"/>
    <n v="120.1"/>
    <n v="118.1"/>
    <n v="120.7"/>
    <n v="116.1"/>
    <n v="109.3"/>
    <n v="119.6"/>
    <n v="117.9"/>
    <n v="110.2"/>
    <n v="101.2"/>
    <n v="110.7"/>
    <n v="113"/>
    <n v="118.3"/>
    <n v="116.2"/>
    <n v="1491.4"/>
    <n v="114.6"/>
    <n v="117.5"/>
    <n v="114.9"/>
    <n v="117.2"/>
    <n v="349.6"/>
    <n v="113.2"/>
    <n v="113.4"/>
    <n v="113.4"/>
    <n v="226.60000000000002"/>
    <n v="111.4"/>
    <n v="111.2"/>
    <n v="110.2"/>
    <n v="112.4"/>
    <n v="108.9"/>
    <n v="220.3"/>
    <n v="111.3"/>
    <n v="114.6"/>
  </r>
  <r>
    <x v="1"/>
    <x v="1"/>
    <x v="2"/>
    <n v="122.1"/>
    <n v="121.4"/>
    <n v="121.5"/>
    <n v="116.2"/>
    <n v="102.8"/>
    <n v="117.7"/>
    <n v="113.3"/>
    <n v="108.9"/>
    <n v="96.3"/>
    <n v="114.1"/>
    <n v="112.2"/>
    <n v="120.5"/>
    <n v="116"/>
    <n v="1483"/>
    <n v="116.7"/>
    <n v="115.8"/>
    <n v="112.1"/>
    <n v="115.2"/>
    <n v="343.09999999999997"/>
    <n v="113.2"/>
    <n v="110.9"/>
    <n v="113"/>
    <n v="226.2"/>
    <n v="110.8"/>
    <n v="111.6"/>
    <n v="110.9"/>
    <n v="111.8"/>
    <n v="109.2"/>
    <n v="220"/>
    <n v="111.4"/>
    <n v="113.7"/>
  </r>
  <r>
    <x v="2"/>
    <x v="1"/>
    <x v="2"/>
    <n v="120.7"/>
    <n v="119.3"/>
    <n v="121"/>
    <n v="116.1"/>
    <n v="106.9"/>
    <n v="118.7"/>
    <n v="116.3"/>
    <n v="109.8"/>
    <n v="99.6"/>
    <n v="111.8"/>
    <n v="112.7"/>
    <n v="119.3"/>
    <n v="116.1"/>
    <n v="1488.2999999999997"/>
    <n v="115.2"/>
    <n v="116.8"/>
    <n v="113.7"/>
    <n v="116.4"/>
    <n v="346.9"/>
    <n v="113.2"/>
    <n v="112.5"/>
    <n v="113.2"/>
    <n v="226.4"/>
    <n v="111.2"/>
    <n v="111.4"/>
    <n v="110.6"/>
    <n v="112"/>
    <n v="109"/>
    <n v="220.2"/>
    <n v="111.3"/>
    <n v="114.2"/>
  </r>
  <r>
    <x v="0"/>
    <x v="1"/>
    <x v="3"/>
    <n v="120.2"/>
    <n v="118.9"/>
    <n v="118.1"/>
    <n v="117"/>
    <n v="109.7"/>
    <n v="125.5"/>
    <n v="120.5"/>
    <n v="111"/>
    <n v="102.6"/>
    <n v="111.2"/>
    <n v="113.5"/>
    <n v="118.7"/>
    <n v="117.2"/>
    <n v="1504.1000000000001"/>
    <n v="115.4"/>
    <n v="118.1"/>
    <n v="116.1"/>
    <n v="117.8"/>
    <n v="352"/>
    <n v="113.9"/>
    <n v="113.4"/>
    <n v="113.7"/>
    <n v="227.60000000000002"/>
    <n v="111.8"/>
    <n v="111.2"/>
    <n v="110.5"/>
    <n v="113"/>
    <n v="108.9"/>
    <n v="220.7"/>
    <n v="111.5"/>
    <n v="115.4"/>
  </r>
  <r>
    <x v="1"/>
    <x v="1"/>
    <x v="3"/>
    <n v="122.5"/>
    <n v="121.7"/>
    <n v="113.3"/>
    <n v="117"/>
    <n v="103.1"/>
    <n v="126.7"/>
    <n v="121.2"/>
    <n v="111"/>
    <n v="100.3"/>
    <n v="115.3"/>
    <n v="112.7"/>
    <n v="121"/>
    <n v="118.2"/>
    <n v="1504.0000000000002"/>
    <n v="117.6"/>
    <n v="116.3"/>
    <n v="112.5"/>
    <n v="115.7"/>
    <n v="344.5"/>
    <n v="113.9"/>
    <n v="110.9"/>
    <n v="113.4"/>
    <n v="227.3"/>
    <n v="111"/>
    <n v="111.2"/>
    <n v="111.2"/>
    <n v="112.5"/>
    <n v="109.1"/>
    <n v="220.1"/>
    <n v="111.4"/>
    <n v="114.7"/>
  </r>
  <r>
    <x v="2"/>
    <x v="1"/>
    <x v="3"/>
    <n v="120.9"/>
    <n v="119.9"/>
    <n v="116.2"/>
    <n v="117"/>
    <n v="107.3"/>
    <n v="126.1"/>
    <n v="120.7"/>
    <n v="111"/>
    <n v="101.8"/>
    <n v="112.6"/>
    <n v="113.2"/>
    <n v="119.8"/>
    <n v="117.6"/>
    <n v="1504.1"/>
    <n v="116"/>
    <n v="117.4"/>
    <n v="114.6"/>
    <n v="117"/>
    <n v="349"/>
    <n v="113.9"/>
    <n v="112.5"/>
    <n v="113.6"/>
    <n v="227.5"/>
    <n v="111.5"/>
    <n v="111.2"/>
    <n v="110.9"/>
    <n v="112.7"/>
    <n v="109"/>
    <n v="220.5"/>
    <n v="111.5"/>
    <n v="115.1"/>
  </r>
  <r>
    <x v="0"/>
    <x v="1"/>
    <x v="4"/>
    <n v="120.3"/>
    <n v="120.2"/>
    <n v="116.9"/>
    <n v="118"/>
    <n v="110.1"/>
    <n v="126.3"/>
    <n v="123.9"/>
    <n v="111.5"/>
    <n v="103.5"/>
    <n v="111.6"/>
    <n v="114.2"/>
    <n v="119.2"/>
    <n v="118.2"/>
    <n v="1513.8999999999999"/>
    <n v="116.3"/>
    <n v="118.7"/>
    <n v="116.8"/>
    <n v="118.5"/>
    <n v="354"/>
    <n v="114.3"/>
    <n v="113.4"/>
    <n v="114.1"/>
    <n v="228.39999999999998"/>
    <n v="112.1"/>
    <n v="111.4"/>
    <n v="110.9"/>
    <n v="113.1"/>
    <n v="108.9"/>
    <n v="221"/>
    <n v="111.8"/>
    <n v="116"/>
  </r>
  <r>
    <x v="1"/>
    <x v="1"/>
    <x v="4"/>
    <n v="122.7"/>
    <n v="124.1"/>
    <n v="114.2"/>
    <n v="119.1"/>
    <n v="103.5"/>
    <n v="129.19999999999999"/>
    <n v="127"/>
    <n v="112.6"/>
    <n v="101.3"/>
    <n v="117"/>
    <n v="112.9"/>
    <n v="121.7"/>
    <n v="120"/>
    <n v="1525.3000000000002"/>
    <n v="118.3"/>
    <n v="116.8"/>
    <n v="112.9"/>
    <n v="116.2"/>
    <n v="345.9"/>
    <n v="114.3"/>
    <n v="111.1"/>
    <n v="114.1"/>
    <n v="228.39999999999998"/>
    <n v="111.2"/>
    <n v="111.3"/>
    <n v="111.5"/>
    <n v="112.9"/>
    <n v="109.3"/>
    <n v="220.5"/>
    <n v="111.7"/>
    <n v="115.6"/>
  </r>
  <r>
    <x v="2"/>
    <x v="1"/>
    <x v="4"/>
    <n v="121.1"/>
    <n v="121.6"/>
    <n v="115.9"/>
    <n v="118.4"/>
    <n v="107.7"/>
    <n v="127.7"/>
    <n v="125"/>
    <n v="111.9"/>
    <n v="102.8"/>
    <n v="113.4"/>
    <n v="113.7"/>
    <n v="120.4"/>
    <n v="118.9"/>
    <n v="1518.5000000000005"/>
    <n v="116.8"/>
    <n v="118"/>
    <n v="115.2"/>
    <n v="117.6"/>
    <n v="350.79999999999995"/>
    <n v="114.3"/>
    <n v="112.5"/>
    <n v="114.1"/>
    <n v="228.39999999999998"/>
    <n v="111.8"/>
    <n v="111.3"/>
    <n v="111.2"/>
    <n v="113"/>
    <n v="109.1"/>
    <n v="220.89999999999998"/>
    <n v="111.8"/>
    <n v="115.8"/>
  </r>
  <r>
    <x v="0"/>
    <x v="1"/>
    <x v="5"/>
    <n v="120.7"/>
    <n v="121.6"/>
    <n v="116.1"/>
    <n v="119.3"/>
    <n v="110.3"/>
    <n v="125.8"/>
    <n v="129.30000000000001"/>
    <n v="112.2"/>
    <n v="103.6"/>
    <n v="112.3"/>
    <n v="114.9"/>
    <n v="120.1"/>
    <n v="119.5"/>
    <n v="1525.6999999999998"/>
    <n v="117.3"/>
    <n v="119.7"/>
    <n v="117.3"/>
    <n v="119.3"/>
    <n v="356.3"/>
    <n v="113.9"/>
    <n v="114.4"/>
    <n v="114.9"/>
    <n v="228.8"/>
    <n v="112.8"/>
    <n v="112.2"/>
    <n v="111.4"/>
    <n v="114.3"/>
    <n v="108"/>
    <n v="220.8"/>
    <n v="112.3"/>
    <n v="117"/>
  </r>
  <r>
    <x v="1"/>
    <x v="1"/>
    <x v="5"/>
    <n v="123.1"/>
    <n v="125.9"/>
    <n v="115.4"/>
    <n v="120.4"/>
    <n v="103.4"/>
    <n v="131.19999999999999"/>
    <n v="137.5"/>
    <n v="112.8"/>
    <n v="101.4"/>
    <n v="118.3"/>
    <n v="113.2"/>
    <n v="122.4"/>
    <n v="122"/>
    <n v="1547"/>
    <n v="119"/>
    <n v="117.4"/>
    <n v="113.2"/>
    <n v="116.7"/>
    <n v="347.3"/>
    <n v="113.9"/>
    <n v="111.2"/>
    <n v="114.3"/>
    <n v="228.2"/>
    <n v="111.4"/>
    <n v="111.5"/>
    <n v="111.8"/>
    <n v="115.1"/>
    <n v="108.7"/>
    <n v="220.10000000000002"/>
    <n v="112.2"/>
    <n v="116.4"/>
  </r>
  <r>
    <x v="2"/>
    <x v="1"/>
    <x v="5"/>
    <n v="121.5"/>
    <n v="123.1"/>
    <n v="115.8"/>
    <n v="119.7"/>
    <n v="107.8"/>
    <n v="128.30000000000001"/>
    <n v="132.1"/>
    <n v="112.4"/>
    <n v="102.9"/>
    <n v="114.3"/>
    <n v="114.2"/>
    <n v="121.2"/>
    <n v="120.4"/>
    <n v="1533.7000000000003"/>
    <n v="117.8"/>
    <n v="118.8"/>
    <n v="115.6"/>
    <n v="118.3"/>
    <n v="352.7"/>
    <n v="113.9"/>
    <n v="113.2"/>
    <n v="114.6"/>
    <n v="228.5"/>
    <n v="112.3"/>
    <n v="111.8"/>
    <n v="111.6"/>
    <n v="114.8"/>
    <n v="108.3"/>
    <n v="220.6"/>
    <n v="112.3"/>
    <n v="116.7"/>
  </r>
  <r>
    <x v="0"/>
    <x v="1"/>
    <x v="6"/>
    <n v="121.7"/>
    <n v="122.5"/>
    <n v="117.7"/>
    <n v="120.6"/>
    <n v="110.4"/>
    <n v="129.1"/>
    <n v="150.1"/>
    <n v="113.2"/>
    <n v="104.8"/>
    <n v="113.3"/>
    <n v="115.6"/>
    <n v="120.9"/>
    <n v="123.3"/>
    <n v="1563.2"/>
    <n v="118"/>
    <n v="120.7"/>
    <n v="118.3"/>
    <n v="120.3"/>
    <n v="359.3"/>
    <n v="114.8"/>
    <n v="115.3"/>
    <n v="115.4"/>
    <n v="230.2"/>
    <n v="113.4"/>
    <n v="113.2"/>
    <n v="111.8"/>
    <n v="115.5"/>
    <n v="108.8"/>
    <n v="222.2"/>
    <n v="113.1"/>
    <n v="119.5"/>
  </r>
  <r>
    <x v="1"/>
    <x v="1"/>
    <x v="6"/>
    <n v="123.8"/>
    <n v="126.4"/>
    <n v="118"/>
    <n v="121.6"/>
    <n v="103.5"/>
    <n v="133.69999999999999"/>
    <n v="172.4"/>
    <n v="113.1"/>
    <n v="102.7"/>
    <n v="120"/>
    <n v="113.8"/>
    <n v="123.4"/>
    <n v="127.1"/>
    <n v="1599.5"/>
    <n v="121"/>
    <n v="118"/>
    <n v="113.6"/>
    <n v="117.4"/>
    <n v="349"/>
    <n v="114.8"/>
    <n v="111.6"/>
    <n v="114.9"/>
    <n v="229.7"/>
    <n v="111.5"/>
    <n v="113"/>
    <n v="112.4"/>
    <n v="117.8"/>
    <n v="109.7"/>
    <n v="221.2"/>
    <n v="113.5"/>
    <n v="118.9"/>
  </r>
  <r>
    <x v="2"/>
    <x v="1"/>
    <x v="6"/>
    <n v="122.4"/>
    <n v="123.9"/>
    <n v="117.8"/>
    <n v="121"/>
    <n v="107.9"/>
    <n v="131.19999999999999"/>
    <n v="157.69999999999999"/>
    <n v="113.2"/>
    <n v="104.1"/>
    <n v="115.5"/>
    <n v="114.8"/>
    <n v="122.1"/>
    <n v="124.7"/>
    <n v="1576.3"/>
    <n v="118.8"/>
    <n v="119.6"/>
    <n v="116.3"/>
    <n v="119.1"/>
    <n v="355"/>
    <n v="114.8"/>
    <n v="113.9"/>
    <n v="115.2"/>
    <n v="230"/>
    <n v="112.7"/>
    <n v="113.1"/>
    <n v="112.1"/>
    <n v="116.8"/>
    <n v="109.2"/>
    <n v="221.9"/>
    <n v="113.3"/>
    <n v="119.2"/>
  </r>
  <r>
    <x v="0"/>
    <x v="1"/>
    <x v="7"/>
    <n v="121.8"/>
    <n v="122.8"/>
    <n v="117.8"/>
    <n v="121.9"/>
    <n v="110.6"/>
    <n v="129.69999999999999"/>
    <n v="161.1"/>
    <n v="114.1"/>
    <n v="105.1"/>
    <n v="114.6"/>
    <n v="115.8"/>
    <n v="121.7"/>
    <n v="125.3"/>
    <n v="1582.2999999999997"/>
    <n v="118.8"/>
    <n v="120.9"/>
    <n v="118.8"/>
    <n v="120.7"/>
    <n v="360.4"/>
    <n v="115.5"/>
    <n v="115.4"/>
    <n v="115.9"/>
    <n v="231.4"/>
    <n v="114"/>
    <n v="113.2"/>
    <n v="112.2"/>
    <n v="116.2"/>
    <n v="109.4"/>
    <n v="223.4"/>
    <n v="113.5"/>
    <n v="120.7"/>
  </r>
  <r>
    <x v="1"/>
    <x v="1"/>
    <x v="7"/>
    <n v="124.8"/>
    <n v="127.3"/>
    <n v="116.5"/>
    <n v="122.2"/>
    <n v="103.6"/>
    <n v="132.69999999999999"/>
    <n v="181.9"/>
    <n v="115.2"/>
    <n v="102.7"/>
    <n v="122.1"/>
    <n v="114.4"/>
    <n v="124.7"/>
    <n v="128.9"/>
    <n v="1617"/>
    <n v="123"/>
    <n v="118.6"/>
    <n v="114.1"/>
    <n v="117.9"/>
    <n v="350.6"/>
    <n v="115.5"/>
    <n v="111.8"/>
    <n v="115.3"/>
    <n v="230.8"/>
    <n v="112.2"/>
    <n v="112.5"/>
    <n v="112.9"/>
    <n v="119.2"/>
    <n v="110.5"/>
    <n v="222.7"/>
    <n v="113.9"/>
    <n v="119.9"/>
  </r>
  <r>
    <x v="2"/>
    <x v="1"/>
    <x v="7"/>
    <n v="122.7"/>
    <n v="124.4"/>
    <n v="117.3"/>
    <n v="122"/>
    <n v="108"/>
    <n v="131.1"/>
    <n v="168.2"/>
    <n v="114.5"/>
    <n v="104.3"/>
    <n v="117.1"/>
    <n v="115.2"/>
    <n v="123.1"/>
    <n v="126.6"/>
    <n v="1594.4999999999998"/>
    <n v="119.9"/>
    <n v="120"/>
    <n v="116.8"/>
    <n v="119.6"/>
    <n v="356.4"/>
    <n v="115.5"/>
    <n v="114"/>
    <n v="115.6"/>
    <n v="231.1"/>
    <n v="113.3"/>
    <n v="112.8"/>
    <n v="112.6"/>
    <n v="118"/>
    <n v="109.9"/>
    <n v="223.2"/>
    <n v="113.7"/>
    <n v="120.3"/>
  </r>
  <r>
    <x v="0"/>
    <x v="1"/>
    <x v="8"/>
    <n v="122.3"/>
    <n v="122.4"/>
    <n v="117.8"/>
    <n v="122.7"/>
    <n v="110.4"/>
    <n v="129.80000000000001"/>
    <n v="158.80000000000001"/>
    <n v="115"/>
    <n v="104.7"/>
    <n v="114.9"/>
    <n v="116.5"/>
    <n v="122.6"/>
    <n v="125.3"/>
    <n v="1583.2"/>
    <n v="119.5"/>
    <n v="121.7"/>
    <n v="119.2"/>
    <n v="121.3"/>
    <n v="362.2"/>
    <n v="116.1"/>
    <n v="115.8"/>
    <n v="116.7"/>
    <n v="232.8"/>
    <n v="114.5"/>
    <n v="112.8"/>
    <n v="112.6"/>
    <n v="116.6"/>
    <n v="109.1"/>
    <n v="223.6"/>
    <n v="113.7"/>
    <n v="120.9"/>
  </r>
  <r>
    <x v="1"/>
    <x v="1"/>
    <x v="8"/>
    <n v="124.2"/>
    <n v="125.4"/>
    <n v="116.4"/>
    <n v="122.7"/>
    <n v="103.5"/>
    <n v="124.5"/>
    <n v="168.6"/>
    <n v="116.9"/>
    <n v="101.9"/>
    <n v="122.9"/>
    <n v="114.8"/>
    <n v="125.2"/>
    <n v="126.7"/>
    <n v="1593.7000000000003"/>
    <n v="124.3"/>
    <n v="119.2"/>
    <n v="114.5"/>
    <n v="118.4"/>
    <n v="352.1"/>
    <n v="116.1"/>
    <n v="111.8"/>
    <n v="115.5"/>
    <n v="231.6"/>
    <n v="112.3"/>
    <n v="111.2"/>
    <n v="113.4"/>
    <n v="120"/>
    <n v="110"/>
    <n v="222.3"/>
    <n v="113.6"/>
    <n v="119.2"/>
  </r>
  <r>
    <x v="2"/>
    <x v="1"/>
    <x v="8"/>
    <n v="122.9"/>
    <n v="123.5"/>
    <n v="117.3"/>
    <n v="122.7"/>
    <n v="107.9"/>
    <n v="127.3"/>
    <n v="162.1"/>
    <n v="115.6"/>
    <n v="103.8"/>
    <n v="117.6"/>
    <n v="115.8"/>
    <n v="123.8"/>
    <n v="125.8"/>
    <n v="1586.0999999999997"/>
    <n v="120.8"/>
    <n v="120.7"/>
    <n v="117.2"/>
    <n v="120.1"/>
    <n v="358"/>
    <n v="116.1"/>
    <n v="114.3"/>
    <n v="116.1"/>
    <n v="232.2"/>
    <n v="113.7"/>
    <n v="112"/>
    <n v="113.1"/>
    <n v="118.6"/>
    <n v="109.5"/>
    <n v="223.2"/>
    <n v="113.7"/>
    <n v="120.1"/>
  </r>
  <r>
    <x v="0"/>
    <x v="1"/>
    <x v="9"/>
    <n v="122.6"/>
    <n v="122.5"/>
    <n v="118.3"/>
    <n v="123.2"/>
    <n v="110.5"/>
    <n v="128.9"/>
    <n v="155.30000000000001"/>
    <n v="115.5"/>
    <n v="104"/>
    <n v="115.3"/>
    <n v="116.8"/>
    <n v="123.2"/>
    <n v="125.1"/>
    <n v="1581.1999999999998"/>
    <n v="120"/>
    <n v="122.7"/>
    <n v="120.3"/>
    <n v="122.3"/>
    <n v="365.3"/>
    <n v="116.7"/>
    <n v="116.4"/>
    <n v="117.5"/>
    <n v="234.2"/>
    <n v="115.3"/>
    <n v="112.6"/>
    <n v="113"/>
    <n v="116.9"/>
    <n v="109.3"/>
    <n v="224.6"/>
    <n v="114"/>
    <n v="121"/>
  </r>
  <r>
    <x v="1"/>
    <x v="1"/>
    <x v="9"/>
    <n v="124.6"/>
    <n v="126.1"/>
    <n v="117.8"/>
    <n v="123.1"/>
    <n v="103.5"/>
    <n v="123.5"/>
    <n v="159.6"/>
    <n v="117.4"/>
    <n v="101.2"/>
    <n v="123.8"/>
    <n v="115.2"/>
    <n v="125.9"/>
    <n v="125.8"/>
    <n v="1587.5"/>
    <n v="124.3"/>
    <n v="119.6"/>
    <n v="114.9"/>
    <n v="118.9"/>
    <n v="353.4"/>
    <n v="116.7"/>
    <n v="112"/>
    <n v="115.8"/>
    <n v="232.5"/>
    <n v="112.6"/>
    <n v="111"/>
    <n v="113.6"/>
    <n v="120.2"/>
    <n v="110.1"/>
    <n v="222.7"/>
    <n v="113.7"/>
    <n v="119.1"/>
  </r>
  <r>
    <x v="2"/>
    <x v="1"/>
    <x v="9"/>
    <n v="123.2"/>
    <n v="123.8"/>
    <n v="118.1"/>
    <n v="123.2"/>
    <n v="107.9"/>
    <n v="126.4"/>
    <n v="156.80000000000001"/>
    <n v="116.1"/>
    <n v="103.1"/>
    <n v="118.1"/>
    <n v="116.1"/>
    <n v="124.5"/>
    <n v="125.4"/>
    <n v="1582.7"/>
    <n v="121.1"/>
    <n v="121.5"/>
    <n v="118.1"/>
    <n v="121"/>
    <n v="360.6"/>
    <n v="116.7"/>
    <n v="114.7"/>
    <n v="116.7"/>
    <n v="233.4"/>
    <n v="114.3"/>
    <n v="111.8"/>
    <n v="113.3"/>
    <n v="118.8"/>
    <n v="109.6"/>
    <n v="223.89999999999998"/>
    <n v="113.9"/>
    <n v="120.1"/>
  </r>
  <r>
    <x v="0"/>
    <x v="1"/>
    <x v="11"/>
    <n v="122.7"/>
    <n v="122.6"/>
    <n v="119.9"/>
    <n v="124"/>
    <n v="110.5"/>
    <n v="128.80000000000001"/>
    <n v="152"/>
    <n v="116.2"/>
    <n v="103.3"/>
    <n v="115.8"/>
    <n v="116.8"/>
    <n v="124.5"/>
    <n v="124.9"/>
    <n v="1582"/>
    <n v="120.8"/>
    <n v="123.3"/>
    <n v="120.5"/>
    <n v="122.9"/>
    <n v="366.70000000000005"/>
    <n v="117.1"/>
    <n v="117.3"/>
    <n v="118.1"/>
    <n v="235.2"/>
    <n v="115.9"/>
    <n v="112"/>
    <n v="113.3"/>
    <n v="117.2"/>
    <n v="108.8"/>
    <n v="224.7"/>
    <n v="114.1"/>
    <n v="121.1"/>
  </r>
  <r>
    <x v="1"/>
    <x v="1"/>
    <x v="11"/>
    <n v="124.5"/>
    <n v="125.6"/>
    <n v="122.7"/>
    <n v="124.6"/>
    <n v="103.2"/>
    <n v="122.2"/>
    <n v="153.19999999999999"/>
    <n v="119.3"/>
    <n v="99.8"/>
    <n v="124.6"/>
    <n v="115.8"/>
    <n v="126.9"/>
    <n v="125.4"/>
    <n v="1587.8"/>
    <n v="125.8"/>
    <n v="120.3"/>
    <n v="115.4"/>
    <n v="119.5"/>
    <n v="355.2"/>
    <n v="117.1"/>
    <n v="112.6"/>
    <n v="116.4"/>
    <n v="233.5"/>
    <n v="113"/>
    <n v="109.7"/>
    <n v="114"/>
    <n v="120.3"/>
    <n v="109.6"/>
    <n v="222.6"/>
    <n v="113.4"/>
    <n v="119"/>
  </r>
  <r>
    <x v="2"/>
    <x v="1"/>
    <x v="11"/>
    <n v="123.3"/>
    <n v="123.7"/>
    <n v="121"/>
    <n v="124.2"/>
    <n v="107.8"/>
    <n v="125.7"/>
    <n v="152.4"/>
    <n v="117.2"/>
    <n v="102.1"/>
    <n v="118.7"/>
    <n v="116.4"/>
    <n v="125.6"/>
    <n v="125.1"/>
    <n v="1583.2"/>
    <n v="122.1"/>
    <n v="122.1"/>
    <n v="118.4"/>
    <n v="121.6"/>
    <n v="362.1"/>
    <n v="117.1"/>
    <n v="115.5"/>
    <n v="117.3"/>
    <n v="234.39999999999998"/>
    <n v="114.8"/>
    <n v="110.8"/>
    <n v="113.7"/>
    <n v="119"/>
    <n v="109.1"/>
    <n v="223.89999999999998"/>
    <n v="113.8"/>
    <n v="120.1"/>
  </r>
  <r>
    <x v="0"/>
    <x v="1"/>
    <x v="12"/>
    <n v="122.4"/>
    <n v="122.4"/>
    <n v="121.8"/>
    <n v="124.2"/>
    <n v="110.2"/>
    <n v="128.6"/>
    <n v="140.30000000000001"/>
    <n v="116.3"/>
    <n v="102"/>
    <n v="116"/>
    <n v="117.3"/>
    <n v="124.8"/>
    <n v="123.3"/>
    <n v="1569.6"/>
    <n v="121.7"/>
    <n v="123.8"/>
    <n v="120.6"/>
    <n v="123.3"/>
    <n v="367.7"/>
    <n v="116.5"/>
    <n v="117.4"/>
    <n v="118.2"/>
    <n v="234.7"/>
    <n v="116.2"/>
    <n v="111.5"/>
    <n v="113.3"/>
    <n v="117.7"/>
    <n v="109.4"/>
    <n v="225.60000000000002"/>
    <n v="114.2"/>
    <n v="120.3"/>
  </r>
  <r>
    <x v="1"/>
    <x v="1"/>
    <x v="12"/>
    <n v="124"/>
    <n v="124.7"/>
    <n v="126.3"/>
    <n v="124.9"/>
    <n v="103"/>
    <n v="122.3"/>
    <n v="141"/>
    <n v="120.1"/>
    <n v="97.8"/>
    <n v="125.4"/>
    <n v="116.1"/>
    <n v="127.6"/>
    <n v="124"/>
    <n v="1577.1999999999998"/>
    <n v="126.4"/>
    <n v="120.7"/>
    <n v="115.8"/>
    <n v="120"/>
    <n v="356.5"/>
    <n v="116.5"/>
    <n v="113"/>
    <n v="116.8"/>
    <n v="233.3"/>
    <n v="113.2"/>
    <n v="108.8"/>
    <n v="114.3"/>
    <n v="120.7"/>
    <n v="110.4"/>
    <n v="223.60000000000002"/>
    <n v="113.4"/>
    <n v="118.4"/>
  </r>
  <r>
    <x v="2"/>
    <x v="1"/>
    <x v="12"/>
    <n v="122.9"/>
    <n v="123.2"/>
    <n v="123.5"/>
    <n v="124.5"/>
    <n v="107.6"/>
    <n v="125.7"/>
    <n v="140.5"/>
    <n v="117.6"/>
    <n v="100.6"/>
    <n v="119.1"/>
    <n v="116.8"/>
    <n v="126.1"/>
    <n v="123.6"/>
    <n v="1571.6999999999998"/>
    <n v="123"/>
    <n v="122.6"/>
    <n v="118.6"/>
    <n v="122"/>
    <n v="363.2"/>
    <n v="116.5"/>
    <n v="115.7"/>
    <n v="117.5"/>
    <n v="234"/>
    <n v="115.1"/>
    <n v="110.1"/>
    <n v="113.9"/>
    <n v="119.5"/>
    <n v="109.8"/>
    <n v="224.89999999999998"/>
    <n v="113.8"/>
    <n v="119.4"/>
  </r>
  <r>
    <x v="0"/>
    <x v="2"/>
    <x v="0"/>
    <n v="123.1"/>
    <n v="123.1"/>
    <n v="122.1"/>
    <n v="124.9"/>
    <n v="111"/>
    <n v="130.4"/>
    <n v="132.30000000000001"/>
    <n v="117.2"/>
    <n v="100.5"/>
    <n v="117.2"/>
    <n v="117.9"/>
    <n v="125.6"/>
    <n v="122.8"/>
    <n v="1568.1"/>
    <n v="122.7"/>
    <n v="124.4"/>
    <n v="121.6"/>
    <n v="124"/>
    <n v="370"/>
    <n v="117.3"/>
    <n v="118.4"/>
    <n v="118.9"/>
    <n v="236.2"/>
    <n v="116.6"/>
    <n v="111"/>
    <n v="114"/>
    <n v="118.2"/>
    <n v="110.2"/>
    <n v="226.8"/>
    <n v="114.5"/>
    <n v="120.3"/>
  </r>
  <r>
    <x v="1"/>
    <x v="2"/>
    <x v="0"/>
    <n v="124"/>
    <n v="125.5"/>
    <n v="126.6"/>
    <n v="125.2"/>
    <n v="104.3"/>
    <n v="121.3"/>
    <n v="134.4"/>
    <n v="122.9"/>
    <n v="96.1"/>
    <n v="126.6"/>
    <n v="116.5"/>
    <n v="128"/>
    <n v="123.5"/>
    <n v="1574.8999999999999"/>
    <n v="127.4"/>
    <n v="121"/>
    <n v="116.1"/>
    <n v="120.2"/>
    <n v="357.3"/>
    <n v="117.3"/>
    <n v="113.4"/>
    <n v="117.2"/>
    <n v="234.5"/>
    <n v="113.7"/>
    <n v="107.9"/>
    <n v="114.6"/>
    <n v="120.8"/>
    <n v="111.4"/>
    <n v="225.10000000000002"/>
    <n v="113.4"/>
    <n v="118.5"/>
  </r>
  <r>
    <x v="2"/>
    <x v="2"/>
    <x v="0"/>
    <n v="123.4"/>
    <n v="123.9"/>
    <n v="123.8"/>
    <n v="125"/>
    <n v="108.5"/>
    <n v="126.2"/>
    <n v="133"/>
    <n v="119.1"/>
    <n v="99"/>
    <n v="120.3"/>
    <n v="117.3"/>
    <n v="126.7"/>
    <n v="123.1"/>
    <n v="1569.3"/>
    <n v="124"/>
    <n v="123.1"/>
    <n v="119.3"/>
    <n v="122.5"/>
    <n v="364.9"/>
    <n v="117.3"/>
    <n v="116.5"/>
    <n v="118.1"/>
    <n v="235.39999999999998"/>
    <n v="115.5"/>
    <n v="109.4"/>
    <n v="114.3"/>
    <n v="119.7"/>
    <n v="110.7"/>
    <n v="226.2"/>
    <n v="114"/>
    <n v="119.5"/>
  </r>
  <r>
    <x v="0"/>
    <x v="2"/>
    <x v="1"/>
    <n v="123.4"/>
    <n v="124.4"/>
    <n v="122.1"/>
    <n v="125.8"/>
    <n v="111.5"/>
    <n v="129.4"/>
    <n v="128.19999999999999"/>
    <n v="118.8"/>
    <n v="100"/>
    <n v="118.6"/>
    <n v="118.8"/>
    <n v="126.8"/>
    <n v="122.8"/>
    <n v="1570.5999999999997"/>
    <n v="124.2"/>
    <n v="125.4"/>
    <n v="122.7"/>
    <n v="125"/>
    <n v="373.1"/>
    <n v="118.1"/>
    <n v="120"/>
    <n v="119.6"/>
    <n v="237.7"/>
    <n v="117.7"/>
    <n v="110.9"/>
    <n v="114.8"/>
    <n v="118.7"/>
    <n v="110.8"/>
    <n v="228.5"/>
    <n v="115"/>
    <n v="120.6"/>
  </r>
  <r>
    <x v="1"/>
    <x v="2"/>
    <x v="1"/>
    <n v="124.3"/>
    <n v="126.5"/>
    <n v="119.5"/>
    <n v="125.6"/>
    <n v="104.9"/>
    <n v="121.6"/>
    <n v="131.80000000000001"/>
    <n v="125.1"/>
    <n v="95"/>
    <n v="127.7"/>
    <n v="116.8"/>
    <n v="128.6"/>
    <n v="123.7"/>
    <n v="1571.1000000000001"/>
    <n v="128.1"/>
    <n v="121.3"/>
    <n v="116.5"/>
    <n v="120.6"/>
    <n v="358.4"/>
    <n v="118.1"/>
    <n v="114"/>
    <n v="117.7"/>
    <n v="235.8"/>
    <n v="114.1"/>
    <n v="106.8"/>
    <n v="114.9"/>
    <n v="120.4"/>
    <n v="111.7"/>
    <n v="225.8"/>
    <n v="113.2"/>
    <n v="118.7"/>
  </r>
  <r>
    <x v="2"/>
    <x v="2"/>
    <x v="1"/>
    <n v="123.7"/>
    <n v="125.1"/>
    <n v="121.1"/>
    <n v="125.7"/>
    <n v="109.1"/>
    <n v="125.8"/>
    <n v="129.4"/>
    <n v="120.9"/>
    <n v="98.3"/>
    <n v="121.6"/>
    <n v="118"/>
    <n v="127.6"/>
    <n v="123.1"/>
    <n v="1569.3999999999996"/>
    <n v="125.2"/>
    <n v="123.8"/>
    <n v="120.1"/>
    <n v="123.3"/>
    <n v="367.2"/>
    <n v="118.1"/>
    <n v="117.7"/>
    <n v="118.7"/>
    <n v="236.8"/>
    <n v="116.3"/>
    <n v="108.7"/>
    <n v="114.9"/>
    <n v="119.7"/>
    <n v="111.2"/>
    <n v="227.5"/>
    <n v="114.1"/>
    <n v="119.7"/>
  </r>
  <r>
    <x v="0"/>
    <x v="2"/>
    <x v="2"/>
    <n v="123.3"/>
    <n v="124.7"/>
    <n v="118.9"/>
    <n v="126"/>
    <n v="111.8"/>
    <n v="130.9"/>
    <n v="128"/>
    <n v="119.9"/>
    <n v="98.9"/>
    <n v="119.4"/>
    <n v="118.9"/>
    <n v="127.7"/>
    <n v="123.1"/>
    <n v="1571.5"/>
    <n v="124.7"/>
    <n v="126"/>
    <n v="122.9"/>
    <n v="125.5"/>
    <n v="374.4"/>
    <n v="118.6"/>
    <n v="120.6"/>
    <n v="120.2"/>
    <n v="238.8"/>
    <n v="118.2"/>
    <n v="111.6"/>
    <n v="115.5"/>
    <n v="119.4"/>
    <n v="110.8"/>
    <n v="229"/>
    <n v="115.5"/>
    <n v="121.1"/>
  </r>
  <r>
    <x v="1"/>
    <x v="2"/>
    <x v="2"/>
    <n v="124"/>
    <n v="126.7"/>
    <n v="113.5"/>
    <n v="125.9"/>
    <n v="104.8"/>
    <n v="123.8"/>
    <n v="131.4"/>
    <n v="127.2"/>
    <n v="93.2"/>
    <n v="127.4"/>
    <n v="117"/>
    <n v="129.19999999999999"/>
    <n v="123.9"/>
    <n v="1568.0000000000002"/>
    <n v="128.80000000000001"/>
    <n v="121.7"/>
    <n v="116.9"/>
    <n v="120.9"/>
    <n v="359.5"/>
    <n v="118.6"/>
    <n v="114.4"/>
    <n v="118"/>
    <n v="236.6"/>
    <n v="114.3"/>
    <n v="108.4"/>
    <n v="115.4"/>
    <n v="120.6"/>
    <n v="111.3"/>
    <n v="225.6"/>
    <n v="113.8"/>
    <n v="119.1"/>
  </r>
  <r>
    <x v="2"/>
    <x v="2"/>
    <x v="2"/>
    <n v="123.5"/>
    <n v="125.4"/>
    <n v="116.8"/>
    <n v="126"/>
    <n v="109.2"/>
    <n v="127.6"/>
    <n v="129.19999999999999"/>
    <n v="122.4"/>
    <n v="97"/>
    <n v="122.1"/>
    <n v="118.1"/>
    <n v="128.4"/>
    <n v="123.4"/>
    <n v="1569.1"/>
    <n v="125.8"/>
    <n v="124.3"/>
    <n v="120.4"/>
    <n v="123.7"/>
    <n v="368.4"/>
    <n v="118.6"/>
    <n v="118.3"/>
    <n v="119.2"/>
    <n v="237.8"/>
    <n v="116.7"/>
    <n v="109.9"/>
    <n v="115.4"/>
    <n v="120.1"/>
    <n v="111"/>
    <n v="227.7"/>
    <n v="114.7"/>
    <n v="120.2"/>
  </r>
  <r>
    <x v="0"/>
    <x v="2"/>
    <x v="3"/>
    <n v="123.3"/>
    <n v="125.5"/>
    <n v="117.2"/>
    <n v="126.8"/>
    <n v="111.9"/>
    <n v="134.19999999999999"/>
    <n v="127.5"/>
    <n v="121.5"/>
    <n v="97.8"/>
    <n v="119.8"/>
    <n v="119.4"/>
    <n v="128.69999999999999"/>
    <n v="123.6"/>
    <n v="1577.2"/>
    <n v="125.7"/>
    <n v="126.4"/>
    <n v="123.3"/>
    <n v="126"/>
    <n v="375.7"/>
    <n v="119.2"/>
    <n v="121.2"/>
    <n v="120.9"/>
    <n v="240.10000000000002"/>
    <n v="118.6"/>
    <n v="111.9"/>
    <n v="116.2"/>
    <n v="119.9"/>
    <n v="111.6"/>
    <n v="230.2"/>
    <n v="116"/>
    <n v="121.5"/>
  </r>
  <r>
    <x v="1"/>
    <x v="2"/>
    <x v="3"/>
    <n v="123.8"/>
    <n v="128.19999999999999"/>
    <n v="110"/>
    <n v="126.3"/>
    <n v="104.5"/>
    <n v="130.6"/>
    <n v="130.80000000000001"/>
    <n v="131.30000000000001"/>
    <n v="91.6"/>
    <n v="127.7"/>
    <n v="117.2"/>
    <n v="129.5"/>
    <n v="124.6"/>
    <n v="1576.1"/>
    <n v="130.1"/>
    <n v="122.1"/>
    <n v="117.2"/>
    <n v="121.3"/>
    <n v="360.6"/>
    <n v="119.2"/>
    <n v="114.7"/>
    <n v="118.4"/>
    <n v="237.60000000000002"/>
    <n v="114.6"/>
    <n v="108.4"/>
    <n v="115.6"/>
    <n v="121.7"/>
    <n v="111.8"/>
    <n v="226.39999999999998"/>
    <n v="114.2"/>
    <n v="119.7"/>
  </r>
  <r>
    <x v="2"/>
    <x v="2"/>
    <x v="3"/>
    <n v="123.5"/>
    <n v="126.4"/>
    <n v="114.4"/>
    <n v="126.6"/>
    <n v="109.2"/>
    <n v="132.5"/>
    <n v="128.6"/>
    <n v="124.8"/>
    <n v="95.7"/>
    <n v="122.4"/>
    <n v="118.5"/>
    <n v="129.1"/>
    <n v="124"/>
    <n v="1575.7"/>
    <n v="126.9"/>
    <n v="124.7"/>
    <n v="120.8"/>
    <n v="124.1"/>
    <n v="369.6"/>
    <n v="119.2"/>
    <n v="118.7"/>
    <n v="119.7"/>
    <n v="238.9"/>
    <n v="117.1"/>
    <n v="110.1"/>
    <n v="115.9"/>
    <n v="121"/>
    <n v="111.7"/>
    <n v="228.8"/>
    <n v="115.1"/>
    <n v="120.7"/>
  </r>
  <r>
    <x v="0"/>
    <x v="2"/>
    <x v="4"/>
    <n v="123.5"/>
    <n v="127.1"/>
    <n v="117.3"/>
    <n v="127.7"/>
    <n v="112.5"/>
    <n v="134.1"/>
    <n v="128.5"/>
    <n v="124.3"/>
    <n v="97.6"/>
    <n v="120.7"/>
    <n v="120.2"/>
    <n v="129.80000000000001"/>
    <n v="124.4"/>
    <n v="1587.7"/>
    <n v="126.7"/>
    <n v="127.3"/>
    <n v="124.1"/>
    <n v="126.8"/>
    <n v="378.2"/>
    <n v="119.6"/>
    <n v="121.9"/>
    <n v="121.5"/>
    <n v="241.1"/>
    <n v="119.4"/>
    <n v="113.3"/>
    <n v="116.7"/>
    <n v="120.5"/>
    <n v="112.3"/>
    <n v="231.7"/>
    <n v="116.9"/>
    <n v="122.4"/>
  </r>
  <r>
    <x v="1"/>
    <x v="2"/>
    <x v="4"/>
    <n v="123.8"/>
    <n v="129.69999999999999"/>
    <n v="111.3"/>
    <n v="126.6"/>
    <n v="105.2"/>
    <n v="130.80000000000001"/>
    <n v="135.6"/>
    <n v="142.6"/>
    <n v="90.8"/>
    <n v="128.80000000000001"/>
    <n v="117.7"/>
    <n v="129.9"/>
    <n v="126.1"/>
    <n v="1598.9"/>
    <n v="131.30000000000001"/>
    <n v="122.4"/>
    <n v="117.4"/>
    <n v="121.6"/>
    <n v="361.4"/>
    <n v="119.6"/>
    <n v="114.9"/>
    <n v="118.7"/>
    <n v="238.3"/>
    <n v="114.9"/>
    <n v="110.8"/>
    <n v="116"/>
    <n v="122"/>
    <n v="112.4"/>
    <n v="227.3"/>
    <n v="115.2"/>
    <n v="120.7"/>
  </r>
  <r>
    <x v="2"/>
    <x v="2"/>
    <x v="4"/>
    <n v="123.6"/>
    <n v="128"/>
    <n v="115"/>
    <n v="127.3"/>
    <n v="109.8"/>
    <n v="132.6"/>
    <n v="130.9"/>
    <n v="130.5"/>
    <n v="95.3"/>
    <n v="123.4"/>
    <n v="119.2"/>
    <n v="129.80000000000001"/>
    <n v="125"/>
    <n v="1590.4"/>
    <n v="127.9"/>
    <n v="125.4"/>
    <n v="121.3"/>
    <n v="124.7"/>
    <n v="371.4"/>
    <n v="119.6"/>
    <n v="119.2"/>
    <n v="120.2"/>
    <n v="239.8"/>
    <n v="117.7"/>
    <n v="112"/>
    <n v="116.3"/>
    <n v="121.4"/>
    <n v="112.3"/>
    <n v="230"/>
    <n v="116.1"/>
    <n v="121.6"/>
  </r>
  <r>
    <x v="0"/>
    <x v="2"/>
    <x v="5"/>
    <n v="124.1"/>
    <n v="130.4"/>
    <n v="122.1"/>
    <n v="128.69999999999999"/>
    <n v="114.1"/>
    <n v="133.19999999999999"/>
    <n v="135.19999999999999"/>
    <n v="131.9"/>
    <n v="96.3"/>
    <n v="123"/>
    <n v="121.1"/>
    <n v="131.19999999999999"/>
    <n v="126.6"/>
    <n v="1617.8999999999999"/>
    <n v="128.19999999999999"/>
    <n v="128.4"/>
    <n v="125.1"/>
    <n v="128"/>
    <n v="381.5"/>
    <n v="119"/>
    <n v="122.6"/>
    <n v="122.8"/>
    <n v="241.8"/>
    <n v="120.4"/>
    <n v="114.2"/>
    <n v="117.9"/>
    <n v="122"/>
    <n v="113"/>
    <n v="233.4"/>
    <n v="117.9"/>
    <n v="124.1"/>
  </r>
  <r>
    <x v="1"/>
    <x v="2"/>
    <x v="5"/>
    <n v="123.6"/>
    <n v="134.4"/>
    <n v="120.9"/>
    <n v="127.3"/>
    <n v="106"/>
    <n v="132.30000000000001"/>
    <n v="146.69999999999999"/>
    <n v="148.1"/>
    <n v="89.8"/>
    <n v="130.5"/>
    <n v="118"/>
    <n v="130.5"/>
    <n v="128.5"/>
    <n v="1636.6"/>
    <n v="132.1"/>
    <n v="123.2"/>
    <n v="117.6"/>
    <n v="122.3"/>
    <n v="363.1"/>
    <n v="119"/>
    <n v="115.1"/>
    <n v="119.2"/>
    <n v="238.2"/>
    <n v="115.4"/>
    <n v="111.7"/>
    <n v="116.2"/>
    <n v="123.8"/>
    <n v="112.5"/>
    <n v="227.9"/>
    <n v="116"/>
    <n v="121.7"/>
  </r>
  <r>
    <x v="2"/>
    <x v="2"/>
    <x v="5"/>
    <n v="123.9"/>
    <n v="131.80000000000001"/>
    <n v="121.6"/>
    <n v="128.19999999999999"/>
    <n v="111.1"/>
    <n v="132.80000000000001"/>
    <n v="139.1"/>
    <n v="137.4"/>
    <n v="94.1"/>
    <n v="125.5"/>
    <n v="119.8"/>
    <n v="130.9"/>
    <n v="127.3"/>
    <n v="1623.5"/>
    <n v="129.19999999999999"/>
    <n v="126.4"/>
    <n v="122"/>
    <n v="125.7"/>
    <n v="374.1"/>
    <n v="119"/>
    <n v="119.8"/>
    <n v="121.1"/>
    <n v="240.1"/>
    <n v="118.5"/>
    <n v="112.9"/>
    <n v="116.9"/>
    <n v="123.1"/>
    <n v="112.8"/>
    <n v="231.3"/>
    <n v="117"/>
    <n v="123"/>
  </r>
  <r>
    <x v="0"/>
    <x v="2"/>
    <x v="6"/>
    <n v="124"/>
    <n v="131.5"/>
    <n v="122"/>
    <n v="128.69999999999999"/>
    <n v="113.5"/>
    <n v="133.30000000000001"/>
    <n v="140.80000000000001"/>
    <n v="133.80000000000001"/>
    <n v="94.1"/>
    <n v="123.4"/>
    <n v="121"/>
    <n v="131.69999999999999"/>
    <n v="127.5"/>
    <n v="1625.3"/>
    <n v="129.4"/>
    <n v="128.80000000000001"/>
    <n v="125.5"/>
    <n v="128.30000000000001"/>
    <n v="382.6"/>
    <n v="119.9"/>
    <n v="123"/>
    <n v="123"/>
    <n v="242.9"/>
    <n v="120.8"/>
    <n v="114.1"/>
    <n v="118"/>
    <n v="122.9"/>
    <n v="112.7"/>
    <n v="233.5"/>
    <n v="118.1"/>
    <n v="124.7"/>
  </r>
  <r>
    <x v="1"/>
    <x v="2"/>
    <x v="6"/>
    <n v="123.2"/>
    <n v="134.30000000000001"/>
    <n v="119.5"/>
    <n v="127.7"/>
    <n v="106.3"/>
    <n v="132.80000000000001"/>
    <n v="153.5"/>
    <n v="149.5"/>
    <n v="85.7"/>
    <n v="131.5"/>
    <n v="118.3"/>
    <n v="131.1"/>
    <n v="129.5"/>
    <n v="1642.8999999999999"/>
    <n v="133.1"/>
    <n v="123.5"/>
    <n v="117.9"/>
    <n v="122.7"/>
    <n v="364.1"/>
    <n v="119.9"/>
    <n v="115.3"/>
    <n v="119.5"/>
    <n v="239.4"/>
    <n v="116"/>
    <n v="111.5"/>
    <n v="116.6"/>
    <n v="125.4"/>
    <n v="111.7"/>
    <n v="227.7"/>
    <n v="116.3"/>
    <n v="122.4"/>
  </r>
  <r>
    <x v="2"/>
    <x v="2"/>
    <x v="6"/>
    <n v="123.7"/>
    <n v="132.5"/>
    <n v="121"/>
    <n v="128.30000000000001"/>
    <n v="110.9"/>
    <n v="133.1"/>
    <n v="145.1"/>
    <n v="139.1"/>
    <n v="91.3"/>
    <n v="126.1"/>
    <n v="119.9"/>
    <n v="131.4"/>
    <n v="128.19999999999999"/>
    <n v="1630.6000000000001"/>
    <n v="130.4"/>
    <n v="126.7"/>
    <n v="122.3"/>
    <n v="126.1"/>
    <n v="375.1"/>
    <n v="119.9"/>
    <n v="120.1"/>
    <n v="121.3"/>
    <n v="241.2"/>
    <n v="119"/>
    <n v="112.7"/>
    <n v="117.2"/>
    <n v="124.4"/>
    <n v="112.3"/>
    <n v="231.3"/>
    <n v="117.2"/>
    <n v="123.6"/>
  </r>
  <r>
    <x v="0"/>
    <x v="2"/>
    <x v="7"/>
    <n v="124.7"/>
    <n v="131.30000000000001"/>
    <n v="121.3"/>
    <n v="128.80000000000001"/>
    <n v="114"/>
    <n v="134.19999999999999"/>
    <n v="153.6"/>
    <n v="137.9"/>
    <n v="93.1"/>
    <n v="123.9"/>
    <n v="121.5"/>
    <n v="132.5"/>
    <n v="129.80000000000001"/>
    <n v="1646.6"/>
    <n v="130.1"/>
    <n v="129.5"/>
    <n v="126.3"/>
    <n v="129"/>
    <n v="384.8"/>
    <n v="120.9"/>
    <n v="123.8"/>
    <n v="123.7"/>
    <n v="244.60000000000002"/>
    <n v="121.1"/>
    <n v="113.6"/>
    <n v="118.5"/>
    <n v="123.6"/>
    <n v="112.5"/>
    <n v="233.6"/>
    <n v="118.2"/>
    <n v="126.1"/>
  </r>
  <r>
    <x v="1"/>
    <x v="2"/>
    <x v="7"/>
    <n v="123.1"/>
    <n v="131.69999999999999"/>
    <n v="118.1"/>
    <n v="128"/>
    <n v="106.8"/>
    <n v="130.1"/>
    <n v="165.5"/>
    <n v="156"/>
    <n v="85.3"/>
    <n v="132.69999999999999"/>
    <n v="118.8"/>
    <n v="131.69999999999999"/>
    <n v="131.1"/>
    <n v="1658.8999999999999"/>
    <n v="134.19999999999999"/>
    <n v="123.7"/>
    <n v="118.2"/>
    <n v="122.9"/>
    <n v="364.8"/>
    <n v="120.9"/>
    <n v="115.3"/>
    <n v="120"/>
    <n v="240.9"/>
    <n v="116.6"/>
    <n v="109.9"/>
    <n v="117.2"/>
    <n v="126.2"/>
    <n v="112"/>
    <n v="228.6"/>
    <n v="116.2"/>
    <n v="123.2"/>
  </r>
  <r>
    <x v="2"/>
    <x v="2"/>
    <x v="7"/>
    <n v="124.2"/>
    <n v="131.4"/>
    <n v="120.1"/>
    <n v="128.5"/>
    <n v="111.4"/>
    <n v="132.30000000000001"/>
    <n v="157.6"/>
    <n v="144"/>
    <n v="90.5"/>
    <n v="126.8"/>
    <n v="120.4"/>
    <n v="132.1"/>
    <n v="130.30000000000001"/>
    <n v="1649.6"/>
    <n v="131.19999999999999"/>
    <n v="127.2"/>
    <n v="122.9"/>
    <n v="126.6"/>
    <n v="376.70000000000005"/>
    <n v="120.9"/>
    <n v="120.6"/>
    <n v="122"/>
    <n v="242.9"/>
    <n v="119.4"/>
    <n v="111.7"/>
    <n v="117.8"/>
    <n v="125.1"/>
    <n v="112.3"/>
    <n v="231.7"/>
    <n v="117.2"/>
    <n v="124.8"/>
  </r>
  <r>
    <x v="0"/>
    <x v="2"/>
    <x v="8"/>
    <n v="125.1"/>
    <n v="131.1"/>
    <n v="120.7"/>
    <n v="129.19999999999999"/>
    <n v="114.7"/>
    <n v="132.30000000000001"/>
    <n v="158.9"/>
    <n v="142.1"/>
    <n v="92.5"/>
    <n v="125.4"/>
    <n v="121.9"/>
    <n v="132.69999999999999"/>
    <n v="131"/>
    <n v="1657.6000000000001"/>
    <n v="131"/>
    <n v="130.4"/>
    <n v="126.8"/>
    <n v="129.9"/>
    <n v="387.1"/>
    <n v="121.6"/>
    <n v="123.7"/>
    <n v="124.5"/>
    <n v="246.1"/>
    <n v="121.4"/>
    <n v="113.8"/>
    <n v="119.6"/>
    <n v="124.5"/>
    <n v="113.7"/>
    <n v="235.10000000000002"/>
    <n v="118.8"/>
    <n v="127"/>
  </r>
  <r>
    <x v="1"/>
    <x v="2"/>
    <x v="8"/>
    <n v="123.4"/>
    <n v="129"/>
    <n v="115.6"/>
    <n v="128.30000000000001"/>
    <n v="107"/>
    <n v="124"/>
    <n v="168.5"/>
    <n v="165.4"/>
    <n v="86.3"/>
    <n v="134.4"/>
    <n v="119.1"/>
    <n v="132.30000000000001"/>
    <n v="131.5"/>
    <n v="1664.8"/>
    <n v="134.69999999999999"/>
    <n v="124"/>
    <n v="118.6"/>
    <n v="123.2"/>
    <n v="365.8"/>
    <n v="121.6"/>
    <n v="115.1"/>
    <n v="120.4"/>
    <n v="242"/>
    <n v="117.1"/>
    <n v="109.1"/>
    <n v="117.3"/>
    <n v="126.5"/>
    <n v="112.9"/>
    <n v="230"/>
    <n v="116.2"/>
    <n v="123.5"/>
  </r>
  <r>
    <x v="2"/>
    <x v="2"/>
    <x v="8"/>
    <n v="124.6"/>
    <n v="130.4"/>
    <n v="118.7"/>
    <n v="128.9"/>
    <n v="111.9"/>
    <n v="128.4"/>
    <n v="162.19999999999999"/>
    <n v="150"/>
    <n v="90.4"/>
    <n v="128.4"/>
    <n v="120.7"/>
    <n v="132.5"/>
    <n v="131.19999999999999"/>
    <n v="1658.3000000000002"/>
    <n v="132"/>
    <n v="127.9"/>
    <n v="123.4"/>
    <n v="127.2"/>
    <n v="378.5"/>
    <n v="121.6"/>
    <n v="120.4"/>
    <n v="122.6"/>
    <n v="244.2"/>
    <n v="119.8"/>
    <n v="111.3"/>
    <n v="118.3"/>
    <n v="125.7"/>
    <n v="113.4"/>
    <n v="233.2"/>
    <n v="117.5"/>
    <n v="125.4"/>
  </r>
  <r>
    <x v="0"/>
    <x v="2"/>
    <x v="9"/>
    <n v="125.6"/>
    <n v="130.4"/>
    <n v="120.8"/>
    <n v="129.4"/>
    <n v="115.8"/>
    <n v="133.19999999999999"/>
    <n v="157.69999999999999"/>
    <n v="154.19999999999999"/>
    <n v="93.7"/>
    <n v="126.6"/>
    <n v="122.3"/>
    <n v="133.1"/>
    <n v="131.80000000000001"/>
    <n v="1674.6"/>
    <n v="131.5"/>
    <n v="131.1"/>
    <n v="127.3"/>
    <n v="130.6"/>
    <n v="389"/>
    <n v="122.4"/>
    <n v="124.4"/>
    <n v="125.1"/>
    <n v="247.5"/>
    <n v="122"/>
    <n v="113.8"/>
    <n v="120.1"/>
    <n v="125.1"/>
    <n v="114.2"/>
    <n v="236.2"/>
    <n v="119.2"/>
    <n v="127.7"/>
  </r>
  <r>
    <x v="1"/>
    <x v="2"/>
    <x v="9"/>
    <n v="123.6"/>
    <n v="128.6"/>
    <n v="115.9"/>
    <n v="128.5"/>
    <n v="109"/>
    <n v="124.1"/>
    <n v="165.8"/>
    <n v="187.2"/>
    <n v="89.4"/>
    <n v="135.80000000000001"/>
    <n v="119.4"/>
    <n v="132.9"/>
    <n v="132.6"/>
    <n v="1692.8000000000002"/>
    <n v="135.30000000000001"/>
    <n v="124.4"/>
    <n v="118.8"/>
    <n v="123.6"/>
    <n v="366.79999999999995"/>
    <n v="122.4"/>
    <n v="114.9"/>
    <n v="120.7"/>
    <n v="243.10000000000002"/>
    <n v="117.7"/>
    <n v="109.3"/>
    <n v="117.7"/>
    <n v="126.5"/>
    <n v="113.5"/>
    <n v="231.2"/>
    <n v="116.5"/>
    <n v="124.2"/>
  </r>
  <r>
    <x v="2"/>
    <x v="2"/>
    <x v="9"/>
    <n v="125"/>
    <n v="129.80000000000001"/>
    <n v="118.9"/>
    <n v="129.1"/>
    <n v="113.3"/>
    <n v="129"/>
    <n v="160.4"/>
    <n v="165.3"/>
    <n v="92.3"/>
    <n v="129.69999999999999"/>
    <n v="121.1"/>
    <n v="133"/>
    <n v="132.1"/>
    <n v="1678.9999999999998"/>
    <n v="132.5"/>
    <n v="128.5"/>
    <n v="123.8"/>
    <n v="127.8"/>
    <n v="380.1"/>
    <n v="122.4"/>
    <n v="120.8"/>
    <n v="123"/>
    <n v="245.4"/>
    <n v="120.4"/>
    <n v="111.4"/>
    <n v="118.7"/>
    <n v="125.9"/>
    <n v="113.9"/>
    <n v="234.3"/>
    <n v="117.9"/>
    <n v="126.1"/>
  </r>
  <r>
    <x v="0"/>
    <x v="2"/>
    <x v="11"/>
    <n v="126.1"/>
    <n v="130.6"/>
    <n v="121.7"/>
    <n v="129.5"/>
    <n v="117.8"/>
    <n v="132.1"/>
    <n v="155.19999999999999"/>
    <n v="160.80000000000001"/>
    <n v="94.5"/>
    <n v="128.30000000000001"/>
    <n v="123.1"/>
    <n v="134.19999999999999"/>
    <n v="132.4"/>
    <n v="1686.3"/>
    <n v="132.19999999999999"/>
    <n v="132.1"/>
    <n v="128.19999999999999"/>
    <n v="131.5"/>
    <n v="391.79999999999995"/>
    <n v="122.9"/>
    <n v="125.6"/>
    <n v="125.6"/>
    <n v="248.5"/>
    <n v="122.6"/>
    <n v="114"/>
    <n v="120.9"/>
    <n v="125.8"/>
    <n v="114.2"/>
    <n v="236.8"/>
    <n v="119.6"/>
    <n v="128.30000000000001"/>
  </r>
  <r>
    <x v="1"/>
    <x v="2"/>
    <x v="11"/>
    <n v="124"/>
    <n v="129.80000000000001"/>
    <n v="121.5"/>
    <n v="128.6"/>
    <n v="110"/>
    <n v="123.7"/>
    <n v="164.6"/>
    <n v="191.6"/>
    <n v="90.8"/>
    <n v="137.1"/>
    <n v="119.8"/>
    <n v="133.69999999999999"/>
    <n v="133.30000000000001"/>
    <n v="1708.4999999999998"/>
    <n v="137.6"/>
    <n v="125"/>
    <n v="119.3"/>
    <n v="124.2"/>
    <n v="368.5"/>
    <n v="122.9"/>
    <n v="115.1"/>
    <n v="121"/>
    <n v="243.9"/>
    <n v="118.1"/>
    <n v="109.3"/>
    <n v="117.9"/>
    <n v="126.6"/>
    <n v="113.3"/>
    <n v="231.39999999999998"/>
    <n v="116.6"/>
    <n v="124.6"/>
  </r>
  <r>
    <x v="2"/>
    <x v="2"/>
    <x v="11"/>
    <n v="125.4"/>
    <n v="130.30000000000001"/>
    <n v="121.6"/>
    <n v="129.19999999999999"/>
    <n v="114.9"/>
    <n v="128.19999999999999"/>
    <n v="158.4"/>
    <n v="171.2"/>
    <n v="93.3"/>
    <n v="131.19999999999999"/>
    <n v="121.7"/>
    <n v="134"/>
    <n v="132.69999999999999"/>
    <n v="1692.1"/>
    <n v="133.6"/>
    <n v="129.30000000000001"/>
    <n v="124.5"/>
    <n v="128.6"/>
    <n v="382.4"/>
    <n v="122.9"/>
    <n v="121.6"/>
    <n v="123.4"/>
    <n v="246.3"/>
    <n v="120.9"/>
    <n v="111.5"/>
    <n v="119.2"/>
    <n v="126.3"/>
    <n v="113.8"/>
    <n v="234.7"/>
    <n v="118.1"/>
    <n v="126.6"/>
  </r>
  <r>
    <x v="0"/>
    <x v="2"/>
    <x v="12"/>
    <n v="126.3"/>
    <n v="131.30000000000001"/>
    <n v="123.3"/>
    <n v="129.80000000000001"/>
    <n v="118.3"/>
    <n v="131.6"/>
    <n v="145.5"/>
    <n v="162.1"/>
    <n v="95.4"/>
    <n v="128.9"/>
    <n v="123.3"/>
    <n v="135.1"/>
    <n v="131.4"/>
    <n v="1682.3000000000002"/>
    <n v="133.1"/>
    <n v="132.5"/>
    <n v="128.5"/>
    <n v="131.9"/>
    <n v="392.9"/>
    <n v="122.4"/>
    <n v="125.7"/>
    <n v="126"/>
    <n v="248.4"/>
    <n v="123.1"/>
    <n v="114"/>
    <n v="121.6"/>
    <n v="125.6"/>
    <n v="114.1"/>
    <n v="237.2"/>
    <n v="119.8"/>
    <n v="127.9"/>
  </r>
  <r>
    <x v="1"/>
    <x v="2"/>
    <x v="12"/>
    <n v="124.3"/>
    <n v="131.69999999999999"/>
    <n v="127.1"/>
    <n v="128.6"/>
    <n v="110"/>
    <n v="120.8"/>
    <n v="149"/>
    <n v="190.1"/>
    <n v="92.7"/>
    <n v="138.6"/>
    <n v="120.2"/>
    <n v="134.19999999999999"/>
    <n v="131.5"/>
    <n v="1698.8"/>
    <n v="138.19999999999999"/>
    <n v="125.4"/>
    <n v="119.5"/>
    <n v="124.5"/>
    <n v="369.4"/>
    <n v="122.4"/>
    <n v="116"/>
    <n v="121"/>
    <n v="243.4"/>
    <n v="118.6"/>
    <n v="109.3"/>
    <n v="118.1"/>
    <n v="126.6"/>
    <n v="113.2"/>
    <n v="231.8"/>
    <n v="116.7"/>
    <n v="124"/>
  </r>
  <r>
    <x v="2"/>
    <x v="2"/>
    <x v="12"/>
    <n v="125.7"/>
    <n v="131.4"/>
    <n v="124.8"/>
    <n v="129.4"/>
    <n v="115.3"/>
    <n v="126.6"/>
    <n v="146.69999999999999"/>
    <n v="171.5"/>
    <n v="94.5"/>
    <n v="132.1"/>
    <n v="122"/>
    <n v="134.69999999999999"/>
    <n v="131.4"/>
    <n v="1686.1000000000001"/>
    <n v="134.5"/>
    <n v="129.69999999999999"/>
    <n v="124.8"/>
    <n v="129"/>
    <n v="383.5"/>
    <n v="122.4"/>
    <n v="122"/>
    <n v="123.6"/>
    <n v="246"/>
    <n v="121.4"/>
    <n v="111.5"/>
    <n v="119.6"/>
    <n v="126.2"/>
    <n v="113.7"/>
    <n v="235.10000000000002"/>
    <n v="118.3"/>
    <n v="126.1"/>
  </r>
  <r>
    <x v="0"/>
    <x v="3"/>
    <x v="0"/>
    <n v="126.8"/>
    <n v="133.19999999999999"/>
    <n v="126.5"/>
    <n v="130.30000000000001"/>
    <n v="118.9"/>
    <n v="131.6"/>
    <n v="140.1"/>
    <n v="163.80000000000001"/>
    <n v="97.7"/>
    <n v="129.6"/>
    <n v="124.3"/>
    <n v="135.9"/>
    <n v="131.4"/>
    <n v="1690.1000000000001"/>
    <n v="133.6"/>
    <n v="133.19999999999999"/>
    <n v="128.9"/>
    <n v="132.6"/>
    <n v="394.70000000000005"/>
    <n v="123.4"/>
    <n v="126.2"/>
    <n v="126.6"/>
    <n v="250"/>
    <n v="123.7"/>
    <n v="113.6"/>
    <n v="121.4"/>
    <n v="126.2"/>
    <n v="114.9"/>
    <n v="238.60000000000002"/>
    <n v="120.1"/>
    <n v="128.1"/>
  </r>
  <r>
    <x v="1"/>
    <x v="3"/>
    <x v="0"/>
    <n v="124.7"/>
    <n v="135.9"/>
    <n v="132"/>
    <n v="129.19999999999999"/>
    <n v="109.7"/>
    <n v="119"/>
    <n v="144.1"/>
    <n v="184.2"/>
    <n v="96.7"/>
    <n v="139.5"/>
    <n v="120.5"/>
    <n v="134.69999999999999"/>
    <n v="131.19999999999999"/>
    <n v="1701.4"/>
    <n v="139.5"/>
    <n v="125.8"/>
    <n v="119.8"/>
    <n v="124.9"/>
    <n v="370.5"/>
    <n v="123.4"/>
    <n v="116.9"/>
    <n v="121.6"/>
    <n v="245"/>
    <n v="119.1"/>
    <n v="108.9"/>
    <n v="118.5"/>
    <n v="126.4"/>
    <n v="114"/>
    <n v="233.1"/>
    <n v="116.8"/>
    <n v="124.2"/>
  </r>
  <r>
    <x v="2"/>
    <x v="3"/>
    <x v="0"/>
    <n v="126.1"/>
    <n v="134.1"/>
    <n v="128.6"/>
    <n v="129.9"/>
    <n v="115.5"/>
    <n v="125.7"/>
    <n v="141.5"/>
    <n v="170.7"/>
    <n v="97.4"/>
    <n v="132.9"/>
    <n v="122.7"/>
    <n v="135.30000000000001"/>
    <n v="131.30000000000001"/>
    <n v="1691.7"/>
    <n v="135.19999999999999"/>
    <n v="130.30000000000001"/>
    <n v="125.1"/>
    <n v="129.5"/>
    <n v="384.9"/>
    <n v="123.4"/>
    <n v="122.7"/>
    <n v="124.2"/>
    <n v="247.60000000000002"/>
    <n v="122"/>
    <n v="111.1"/>
    <n v="119.8"/>
    <n v="126.3"/>
    <n v="114.5"/>
    <n v="236.5"/>
    <n v="118.5"/>
    <n v="126.3"/>
  </r>
  <r>
    <x v="0"/>
    <x v="3"/>
    <x v="1"/>
    <n v="127.1"/>
    <n v="133.69999999999999"/>
    <n v="127.7"/>
    <n v="130.69999999999999"/>
    <n v="118.5"/>
    <n v="130.4"/>
    <n v="130.9"/>
    <n v="162.80000000000001"/>
    <n v="98.7"/>
    <n v="130.6"/>
    <n v="124.8"/>
    <n v="136.4"/>
    <n v="130.30000000000001"/>
    <n v="1682.6"/>
    <n v="134.4"/>
    <n v="133.9"/>
    <n v="129.80000000000001"/>
    <n v="133.4"/>
    <n v="397.1"/>
    <n v="124.4"/>
    <n v="127.5"/>
    <n v="127.1"/>
    <n v="251.5"/>
    <n v="124.3"/>
    <n v="113.9"/>
    <n v="122.3"/>
    <n v="127.1"/>
    <n v="116.8"/>
    <n v="241.1"/>
    <n v="120.9"/>
    <n v="127.9"/>
  </r>
  <r>
    <x v="1"/>
    <x v="3"/>
    <x v="1"/>
    <n v="124.8"/>
    <n v="135.1"/>
    <n v="130.30000000000001"/>
    <n v="129.6"/>
    <n v="108.4"/>
    <n v="118.6"/>
    <n v="129.19999999999999"/>
    <n v="176.4"/>
    <n v="99.1"/>
    <n v="139.69999999999999"/>
    <n v="120.6"/>
    <n v="135.19999999999999"/>
    <n v="129.1"/>
    <n v="1676.1"/>
    <n v="140"/>
    <n v="126.2"/>
    <n v="120.1"/>
    <n v="125.3"/>
    <n v="371.6"/>
    <n v="124.4"/>
    <n v="116"/>
    <n v="121.8"/>
    <n v="246.2"/>
    <n v="119.5"/>
    <n v="109.1"/>
    <n v="118.8"/>
    <n v="126.3"/>
    <n v="116.2"/>
    <n v="235.7"/>
    <n v="117.2"/>
    <n v="123.8"/>
  </r>
  <r>
    <x v="2"/>
    <x v="3"/>
    <x v="1"/>
    <n v="126.4"/>
    <n v="134.19999999999999"/>
    <n v="128.69999999999999"/>
    <n v="130.30000000000001"/>
    <n v="114.8"/>
    <n v="124.9"/>
    <n v="130.30000000000001"/>
    <n v="167.4"/>
    <n v="98.8"/>
    <n v="133.6"/>
    <n v="123"/>
    <n v="135.80000000000001"/>
    <n v="129.9"/>
    <n v="1678.1"/>
    <n v="135.9"/>
    <n v="130.9"/>
    <n v="125.8"/>
    <n v="130.19999999999999"/>
    <n v="386.9"/>
    <n v="124.4"/>
    <n v="123.1"/>
    <n v="124.6"/>
    <n v="249"/>
    <n v="122.5"/>
    <n v="111.4"/>
    <n v="120.3"/>
    <n v="126.6"/>
    <n v="116.6"/>
    <n v="239.1"/>
    <n v="119.1"/>
    <n v="126"/>
  </r>
  <r>
    <x v="0"/>
    <x v="3"/>
    <x v="2"/>
    <n v="127.3"/>
    <n v="134.4"/>
    <n v="125.1"/>
    <n v="130.5"/>
    <n v="118.3"/>
    <n v="131.69999999999999"/>
    <n v="130.69999999999999"/>
    <n v="161.19999999999999"/>
    <n v="100.4"/>
    <n v="130.80000000000001"/>
    <n v="124.9"/>
    <n v="137"/>
    <n v="130.4"/>
    <n v="1682.7000000000003"/>
    <n v="135"/>
    <n v="134.4"/>
    <n v="130.19999999999999"/>
    <n v="133.80000000000001"/>
    <n v="398.40000000000003"/>
    <n v="124.9"/>
    <n v="127"/>
    <n v="127.7"/>
    <n v="252.60000000000002"/>
    <n v="124.8"/>
    <n v="113.6"/>
    <n v="122.5"/>
    <n v="127.5"/>
    <n v="117.4"/>
    <n v="242.2"/>
    <n v="121.1"/>
    <n v="128"/>
  </r>
  <r>
    <x v="1"/>
    <x v="3"/>
    <x v="2"/>
    <n v="124.8"/>
    <n v="136.30000000000001"/>
    <n v="123.7"/>
    <n v="129.69999999999999"/>
    <n v="107.9"/>
    <n v="119.9"/>
    <n v="128.1"/>
    <n v="170.3"/>
    <n v="101.8"/>
    <n v="140.1"/>
    <n v="120.7"/>
    <n v="135.4"/>
    <n v="128.9"/>
    <n v="1667.6000000000001"/>
    <n v="140.6"/>
    <n v="126.4"/>
    <n v="120.3"/>
    <n v="125.5"/>
    <n v="372.2"/>
    <n v="124.9"/>
    <n v="114.8"/>
    <n v="122.3"/>
    <n v="247.2"/>
    <n v="119.7"/>
    <n v="108.5"/>
    <n v="119.1"/>
    <n v="126.4"/>
    <n v="117.1"/>
    <n v="236.8"/>
    <n v="117.3"/>
    <n v="123.8"/>
  </r>
  <r>
    <x v="2"/>
    <x v="3"/>
    <x v="2"/>
    <n v="126.5"/>
    <n v="135.1"/>
    <n v="124.6"/>
    <n v="130.19999999999999"/>
    <n v="114.5"/>
    <n v="126.2"/>
    <n v="129.80000000000001"/>
    <n v="164.3"/>
    <n v="100.9"/>
    <n v="133.9"/>
    <n v="123.1"/>
    <n v="136.30000000000001"/>
    <n v="129.80000000000001"/>
    <n v="1675.2"/>
    <n v="136.5"/>
    <n v="131.30000000000001"/>
    <n v="126.1"/>
    <n v="130.5"/>
    <n v="387.9"/>
    <n v="124.9"/>
    <n v="122.4"/>
    <n v="125.1"/>
    <n v="250"/>
    <n v="122.9"/>
    <n v="110.9"/>
    <n v="120.6"/>
    <n v="126.9"/>
    <n v="117.3"/>
    <n v="240.2"/>
    <n v="119.3"/>
    <n v="126"/>
  </r>
  <r>
    <x v="0"/>
    <x v="3"/>
    <x v="3"/>
    <n v="127.4"/>
    <n v="135.4"/>
    <n v="123.4"/>
    <n v="131.30000000000001"/>
    <n v="118.2"/>
    <n v="138.1"/>
    <n v="134.1"/>
    <n v="162.69999999999999"/>
    <n v="105"/>
    <n v="131.4"/>
    <n v="125.4"/>
    <n v="137.4"/>
    <n v="131.80000000000001"/>
    <n v="1701.6000000000004"/>
    <n v="135.5"/>
    <n v="135"/>
    <n v="130.6"/>
    <n v="134.4"/>
    <n v="400"/>
    <n v="125.6"/>
    <n v="127"/>
    <n v="128"/>
    <n v="253.6"/>
    <n v="125.2"/>
    <n v="114.4"/>
    <n v="123.2"/>
    <n v="127.9"/>
    <n v="118.4"/>
    <n v="243.60000000000002"/>
    <n v="121.7"/>
    <n v="129"/>
  </r>
  <r>
    <x v="1"/>
    <x v="3"/>
    <x v="3"/>
    <n v="124.9"/>
    <n v="139.30000000000001"/>
    <n v="119.9"/>
    <n v="130.19999999999999"/>
    <n v="108.9"/>
    <n v="131.1"/>
    <n v="136.80000000000001"/>
    <n v="176.9"/>
    <n v="109.1"/>
    <n v="140.4"/>
    <n v="121.1"/>
    <n v="135.9"/>
    <n v="131.80000000000001"/>
    <n v="1706.3"/>
    <n v="141.5"/>
    <n v="126.8"/>
    <n v="120.5"/>
    <n v="125.8"/>
    <n v="373.1"/>
    <n v="125.6"/>
    <n v="114.6"/>
    <n v="122.8"/>
    <n v="248.39999999999998"/>
    <n v="120"/>
    <n v="110"/>
    <n v="119.5"/>
    <n v="127.6"/>
    <n v="117.6"/>
    <n v="237.6"/>
    <n v="118.2"/>
    <n v="125.3"/>
  </r>
  <r>
    <x v="2"/>
    <x v="3"/>
    <x v="3"/>
    <n v="126.6"/>
    <n v="136.80000000000001"/>
    <n v="122"/>
    <n v="130.9"/>
    <n v="114.8"/>
    <n v="134.80000000000001"/>
    <n v="135"/>
    <n v="167.5"/>
    <n v="106.4"/>
    <n v="134.4"/>
    <n v="123.6"/>
    <n v="136.69999999999999"/>
    <n v="131.80000000000001"/>
    <n v="1701.3"/>
    <n v="137.1"/>
    <n v="131.80000000000001"/>
    <n v="126.4"/>
    <n v="131"/>
    <n v="389.20000000000005"/>
    <n v="125.6"/>
    <n v="122.3"/>
    <n v="125.5"/>
    <n v="251.1"/>
    <n v="123.2"/>
    <n v="112.1"/>
    <n v="121.1"/>
    <n v="127.7"/>
    <n v="118.1"/>
    <n v="241.3"/>
    <n v="120"/>
    <n v="127.3"/>
  </r>
  <r>
    <x v="0"/>
    <x v="3"/>
    <x v="4"/>
    <n v="127.6"/>
    <n v="137.5"/>
    <n v="124.4"/>
    <n v="132.4"/>
    <n v="118.2"/>
    <n v="138.1"/>
    <n v="141.80000000000001"/>
    <n v="166"/>
    <n v="107.5"/>
    <n v="132.19999999999999"/>
    <n v="126.1"/>
    <n v="138.30000000000001"/>
    <n v="133.6"/>
    <n v="1723.6999999999998"/>
    <n v="136"/>
    <n v="135.4"/>
    <n v="131.1"/>
    <n v="134.80000000000001"/>
    <n v="401.3"/>
    <n v="126"/>
    <n v="127.4"/>
    <n v="128.5"/>
    <n v="254.5"/>
    <n v="125.8"/>
    <n v="115.1"/>
    <n v="123.6"/>
    <n v="129.1"/>
    <n v="119.7"/>
    <n v="245.5"/>
    <n v="122.5"/>
    <n v="130.30000000000001"/>
  </r>
  <r>
    <x v="1"/>
    <x v="3"/>
    <x v="4"/>
    <n v="125"/>
    <n v="142.1"/>
    <n v="127"/>
    <n v="130.4"/>
    <n v="109.6"/>
    <n v="133.5"/>
    <n v="151.4"/>
    <n v="182.8"/>
    <n v="111.1"/>
    <n v="141.5"/>
    <n v="121.5"/>
    <n v="136.30000000000001"/>
    <n v="134.6"/>
    <n v="1746.7999999999997"/>
    <n v="142.19999999999999"/>
    <n v="127.2"/>
    <n v="120.7"/>
    <n v="126.2"/>
    <n v="374.1"/>
    <n v="126"/>
    <n v="115"/>
    <n v="123.2"/>
    <n v="249.2"/>
    <n v="120.3"/>
    <n v="110.7"/>
    <n v="119.8"/>
    <n v="128"/>
    <n v="118.5"/>
    <n v="238.8"/>
    <n v="118.7"/>
    <n v="126.6"/>
  </r>
  <r>
    <x v="2"/>
    <x v="3"/>
    <x v="4"/>
    <n v="126.8"/>
    <n v="139.1"/>
    <n v="125.4"/>
    <n v="131.69999999999999"/>
    <n v="115"/>
    <n v="136"/>
    <n v="145.1"/>
    <n v="171.7"/>
    <n v="108.7"/>
    <n v="135.30000000000001"/>
    <n v="124.2"/>
    <n v="137.4"/>
    <n v="134"/>
    <n v="1730.4"/>
    <n v="137.69999999999999"/>
    <n v="132.19999999999999"/>
    <n v="126.8"/>
    <n v="131.4"/>
    <n v="390.4"/>
    <n v="126"/>
    <n v="122.7"/>
    <n v="126"/>
    <n v="252"/>
    <n v="123.7"/>
    <n v="112.8"/>
    <n v="121.5"/>
    <n v="128.5"/>
    <n v="119.2"/>
    <n v="242.9"/>
    <n v="120.7"/>
    <n v="128.6"/>
  </r>
  <r>
    <x v="0"/>
    <x v="3"/>
    <x v="5"/>
    <n v="128.6"/>
    <n v="138.6"/>
    <n v="126.6"/>
    <n v="133.6"/>
    <n v="118.6"/>
    <n v="137.4"/>
    <n v="152.5"/>
    <n v="169.2"/>
    <n v="108.8"/>
    <n v="133.1"/>
    <n v="126.4"/>
    <n v="139.19999999999999"/>
    <n v="136"/>
    <n v="1748.6"/>
    <n v="137.19999999999999"/>
    <n v="136.30000000000001"/>
    <n v="131.6"/>
    <n v="135.6"/>
    <n v="403.5"/>
    <n v="125.5"/>
    <n v="128"/>
    <n v="129.30000000000001"/>
    <n v="254.8"/>
    <n v="126.2"/>
    <n v="116.3"/>
    <n v="124.1"/>
    <n v="130.19999999999999"/>
    <n v="119.9"/>
    <n v="246.10000000000002"/>
    <n v="123.3"/>
    <n v="131.9"/>
  </r>
  <r>
    <x v="1"/>
    <x v="3"/>
    <x v="5"/>
    <n v="125.9"/>
    <n v="143.9"/>
    <n v="130.9"/>
    <n v="131"/>
    <n v="110.2"/>
    <n v="135.5"/>
    <n v="173.7"/>
    <n v="184.4"/>
    <n v="112"/>
    <n v="142.80000000000001"/>
    <n v="121.6"/>
    <n v="136.9"/>
    <n v="138.19999999999999"/>
    <n v="1787.0000000000002"/>
    <n v="142.69999999999999"/>
    <n v="127.6"/>
    <n v="121.1"/>
    <n v="126.6"/>
    <n v="375.29999999999995"/>
    <n v="125.5"/>
    <n v="115.5"/>
    <n v="123.2"/>
    <n v="248.7"/>
    <n v="120.6"/>
    <n v="112.3"/>
    <n v="119.9"/>
    <n v="129.30000000000001"/>
    <n v="118.8"/>
    <n v="239.39999999999998"/>
    <n v="119.6"/>
    <n v="128.1"/>
  </r>
  <r>
    <x v="2"/>
    <x v="3"/>
    <x v="5"/>
    <n v="127.7"/>
    <n v="140.5"/>
    <n v="128.30000000000001"/>
    <n v="132.6"/>
    <n v="115.5"/>
    <n v="136.5"/>
    <n v="159.69999999999999"/>
    <n v="174.3"/>
    <n v="109.9"/>
    <n v="136.30000000000001"/>
    <n v="124.4"/>
    <n v="138.1"/>
    <n v="136.80000000000001"/>
    <n v="1760.6"/>
    <n v="138.69999999999999"/>
    <n v="132.9"/>
    <n v="127.2"/>
    <n v="132"/>
    <n v="392.1"/>
    <n v="125.5"/>
    <n v="123.3"/>
    <n v="126.4"/>
    <n v="251.9"/>
    <n v="124.1"/>
    <n v="114.2"/>
    <n v="121.7"/>
    <n v="129.69999999999999"/>
    <n v="119.4"/>
    <n v="243.5"/>
    <n v="121.5"/>
    <n v="130.1"/>
  </r>
  <r>
    <x v="0"/>
    <x v="3"/>
    <x v="6"/>
    <n v="129.30000000000001"/>
    <n v="139.5"/>
    <n v="129.6"/>
    <n v="134.5"/>
    <n v="119.5"/>
    <n v="138.5"/>
    <n v="158.19999999999999"/>
    <n v="171.8"/>
    <n v="110.3"/>
    <n v="134.30000000000001"/>
    <n v="127.3"/>
    <n v="139.9"/>
    <n v="137.6"/>
    <n v="1770.2999999999997"/>
    <n v="138"/>
    <n v="137.19999999999999"/>
    <n v="132.19999999999999"/>
    <n v="136.5"/>
    <n v="405.9"/>
    <n v="126.4"/>
    <n v="128.19999999999999"/>
    <n v="130"/>
    <n v="256.39999999999998"/>
    <n v="126.7"/>
    <n v="116.4"/>
    <n v="125.2"/>
    <n v="130.80000000000001"/>
    <n v="120.9"/>
    <n v="247.60000000000002"/>
    <n v="123.8"/>
    <n v="133"/>
  </r>
  <r>
    <x v="1"/>
    <x v="3"/>
    <x v="6"/>
    <n v="126.8"/>
    <n v="144.19999999999999"/>
    <n v="136.6"/>
    <n v="131.80000000000001"/>
    <n v="111"/>
    <n v="137"/>
    <n v="179.5"/>
    <n v="188.4"/>
    <n v="113.3"/>
    <n v="143.9"/>
    <n v="121.7"/>
    <n v="137.5"/>
    <n v="139.80000000000001"/>
    <n v="1811.5000000000002"/>
    <n v="142.9"/>
    <n v="127.9"/>
    <n v="121.1"/>
    <n v="126.9"/>
    <n v="375.9"/>
    <n v="126.4"/>
    <n v="115.5"/>
    <n v="123.5"/>
    <n v="249.9"/>
    <n v="120.9"/>
    <n v="111.7"/>
    <n v="120.3"/>
    <n v="130.80000000000001"/>
    <n v="120"/>
    <n v="240.9"/>
    <n v="119.9"/>
    <n v="129"/>
  </r>
  <r>
    <x v="2"/>
    <x v="3"/>
    <x v="6"/>
    <n v="128.5"/>
    <n v="141.19999999999999"/>
    <n v="132.30000000000001"/>
    <n v="133.5"/>
    <n v="116.4"/>
    <n v="137.80000000000001"/>
    <n v="165.4"/>
    <n v="177.4"/>
    <n v="111.3"/>
    <n v="137.5"/>
    <n v="125"/>
    <n v="138.80000000000001"/>
    <n v="138.4"/>
    <n v="1783.5"/>
    <n v="139.30000000000001"/>
    <n v="133.5"/>
    <n v="127.6"/>
    <n v="132.69999999999999"/>
    <n v="393.8"/>
    <n v="126.4"/>
    <n v="123.4"/>
    <n v="126.9"/>
    <n v="253.3"/>
    <n v="124.5"/>
    <n v="113.9"/>
    <n v="122.4"/>
    <n v="130.80000000000001"/>
    <n v="120.5"/>
    <n v="245"/>
    <n v="121.9"/>
    <n v="131.1"/>
  </r>
  <r>
    <x v="0"/>
    <x v="3"/>
    <x v="7"/>
    <n v="130.1"/>
    <n v="138.80000000000001"/>
    <n v="130.30000000000001"/>
    <n v="135.30000000000001"/>
    <n v="119.9"/>
    <n v="140.19999999999999"/>
    <n v="156.9"/>
    <n v="172.2"/>
    <n v="112.1"/>
    <n v="134.9"/>
    <n v="128.1"/>
    <n v="140.69999999999999"/>
    <n v="138"/>
    <n v="1777.4999999999998"/>
    <n v="138.9"/>
    <n v="137.80000000000001"/>
    <n v="133"/>
    <n v="137.1"/>
    <n v="407.9"/>
    <n v="127.3"/>
    <n v="129.1"/>
    <n v="130.6"/>
    <n v="257.89999999999998"/>
    <n v="127"/>
    <n v="116"/>
    <n v="125.5"/>
    <n v="131.9"/>
    <n v="122"/>
    <n v="249"/>
    <n v="124.2"/>
    <n v="133.5"/>
  </r>
  <r>
    <x v="1"/>
    <x v="3"/>
    <x v="7"/>
    <n v="127.6"/>
    <n v="140.30000000000001"/>
    <n v="133.69999999999999"/>
    <n v="132.19999999999999"/>
    <n v="111.8"/>
    <n v="135.80000000000001"/>
    <n v="163.5"/>
    <n v="182.3"/>
    <n v="114.6"/>
    <n v="144.6"/>
    <n v="121.9"/>
    <n v="138.1"/>
    <n v="137.6"/>
    <n v="1783.9999999999995"/>
    <n v="143.6"/>
    <n v="128.30000000000001"/>
    <n v="121.4"/>
    <n v="127.3"/>
    <n v="377"/>
    <n v="127.3"/>
    <n v="114.7"/>
    <n v="123.9"/>
    <n v="251.2"/>
    <n v="121.2"/>
    <n v="110.4"/>
    <n v="120.6"/>
    <n v="131.5"/>
    <n v="120.9"/>
    <n v="242.10000000000002"/>
    <n v="119.9"/>
    <n v="128.4"/>
  </r>
  <r>
    <x v="2"/>
    <x v="3"/>
    <x v="7"/>
    <n v="129.30000000000001"/>
    <n v="139.30000000000001"/>
    <n v="131.6"/>
    <n v="134.1"/>
    <n v="116.9"/>
    <n v="138.1"/>
    <n v="159.1"/>
    <n v="175.6"/>
    <n v="112.9"/>
    <n v="138.1"/>
    <n v="125.5"/>
    <n v="139.5"/>
    <n v="137.9"/>
    <n v="1777.9"/>
    <n v="140.19999999999999"/>
    <n v="134.1"/>
    <n v="128.19999999999999"/>
    <n v="133.19999999999999"/>
    <n v="395.49999999999994"/>
    <n v="127.3"/>
    <n v="123.6"/>
    <n v="127.4"/>
    <n v="254.7"/>
    <n v="124.8"/>
    <n v="113.1"/>
    <n v="122.7"/>
    <n v="131.69999999999999"/>
    <n v="121.5"/>
    <n v="246.3"/>
    <n v="122.1"/>
    <n v="131.1"/>
  </r>
  <r>
    <x v="0"/>
    <x v="3"/>
    <x v="8"/>
    <n v="130.80000000000001"/>
    <n v="138.19999999999999"/>
    <n v="130.5"/>
    <n v="135.5"/>
    <n v="120.2"/>
    <n v="139.19999999999999"/>
    <n v="149.5"/>
    <n v="170.4"/>
    <n v="113.1"/>
    <n v="135.80000000000001"/>
    <n v="128.80000000000001"/>
    <n v="141.5"/>
    <n v="137.19999999999999"/>
    <n v="1770.7"/>
    <n v="139.9"/>
    <n v="138.5"/>
    <n v="133.5"/>
    <n v="137.80000000000001"/>
    <n v="409.8"/>
    <n v="127.9"/>
    <n v="129.69999999999999"/>
    <n v="131.1"/>
    <n v="259"/>
    <n v="127.8"/>
    <n v="117"/>
    <n v="125.7"/>
    <n v="132.19999999999999"/>
    <n v="122.8"/>
    <n v="250.6"/>
    <n v="124.9"/>
    <n v="133.4"/>
  </r>
  <r>
    <x v="1"/>
    <x v="3"/>
    <x v="8"/>
    <n v="128.1"/>
    <n v="137.69999999999999"/>
    <n v="130.6"/>
    <n v="132.6"/>
    <n v="111.9"/>
    <n v="132.5"/>
    <n v="152.9"/>
    <n v="173.6"/>
    <n v="115.1"/>
    <n v="144.80000000000001"/>
    <n v="122.1"/>
    <n v="138.80000000000001"/>
    <n v="135.69999999999999"/>
    <n v="1756.3999999999996"/>
    <n v="143.9"/>
    <n v="128.69999999999999"/>
    <n v="121.6"/>
    <n v="127.7"/>
    <n v="378"/>
    <n v="127.9"/>
    <n v="114.8"/>
    <n v="124.3"/>
    <n v="252.2"/>
    <n v="121.4"/>
    <n v="111.8"/>
    <n v="120.8"/>
    <n v="131.6"/>
    <n v="121.2"/>
    <n v="242.60000000000002"/>
    <n v="120.5"/>
    <n v="128"/>
  </r>
  <r>
    <x v="2"/>
    <x v="3"/>
    <x v="8"/>
    <n v="129.9"/>
    <n v="138"/>
    <n v="130.5"/>
    <n v="134.4"/>
    <n v="117.2"/>
    <n v="136.1"/>
    <n v="150.69999999999999"/>
    <n v="171.5"/>
    <n v="113.8"/>
    <n v="138.80000000000001"/>
    <n v="126"/>
    <n v="140.19999999999999"/>
    <n v="136.6"/>
    <n v="1763.6999999999998"/>
    <n v="141"/>
    <n v="134.6"/>
    <n v="128.6"/>
    <n v="133.80000000000001"/>
    <n v="397"/>
    <n v="127.9"/>
    <n v="124.1"/>
    <n v="127.9"/>
    <n v="255.8"/>
    <n v="125.4"/>
    <n v="114.3"/>
    <n v="122.9"/>
    <n v="131.80000000000001"/>
    <n v="122.1"/>
    <n v="247.5"/>
    <n v="122.8"/>
    <n v="130.9"/>
  </r>
  <r>
    <x v="0"/>
    <x v="3"/>
    <x v="9"/>
    <n v="131.30000000000001"/>
    <n v="137.6"/>
    <n v="130.1"/>
    <n v="136"/>
    <n v="120.8"/>
    <n v="138.4"/>
    <n v="149.19999999999999"/>
    <n v="170.2"/>
    <n v="113.4"/>
    <n v="136.30000000000001"/>
    <n v="128.69999999999999"/>
    <n v="142.4"/>
    <n v="137.4"/>
    <n v="1771.8000000000002"/>
    <n v="140.9"/>
    <n v="139.6"/>
    <n v="134.30000000000001"/>
    <n v="138.80000000000001"/>
    <n v="412.7"/>
    <n v="128.69999999999999"/>
    <n v="129.80000000000001"/>
    <n v="131.80000000000001"/>
    <n v="260.5"/>
    <n v="128.69999999999999"/>
    <n v="117.8"/>
    <n v="126.5"/>
    <n v="133"/>
    <n v="123"/>
    <n v="251.7"/>
    <n v="125.7"/>
    <n v="133.80000000000001"/>
  </r>
  <r>
    <x v="1"/>
    <x v="3"/>
    <x v="9"/>
    <n v="128.69999999999999"/>
    <n v="138.4"/>
    <n v="130.30000000000001"/>
    <n v="132.69999999999999"/>
    <n v="112.5"/>
    <n v="130.4"/>
    <n v="155.1"/>
    <n v="175.7"/>
    <n v="115.4"/>
    <n v="145.30000000000001"/>
    <n v="122.5"/>
    <n v="139.6"/>
    <n v="136.30000000000001"/>
    <n v="1762.8999999999999"/>
    <n v="144.30000000000001"/>
    <n v="129.1"/>
    <n v="121.9"/>
    <n v="128"/>
    <n v="379"/>
    <n v="128.69999999999999"/>
    <n v="115.2"/>
    <n v="124.5"/>
    <n v="253.2"/>
    <n v="121.8"/>
    <n v="112.8"/>
    <n v="121.2"/>
    <n v="131.9"/>
    <n v="120.8"/>
    <n v="242.6"/>
    <n v="120.9"/>
    <n v="128.6"/>
  </r>
  <r>
    <x v="2"/>
    <x v="3"/>
    <x v="9"/>
    <n v="130.5"/>
    <n v="137.9"/>
    <n v="130.19999999999999"/>
    <n v="134.80000000000001"/>
    <n v="117.8"/>
    <n v="134.69999999999999"/>
    <n v="151.19999999999999"/>
    <n v="172.1"/>
    <n v="114.1"/>
    <n v="139.30000000000001"/>
    <n v="126.1"/>
    <n v="141.1"/>
    <n v="137"/>
    <n v="1766.7999999999995"/>
    <n v="141.80000000000001"/>
    <n v="135.5"/>
    <n v="129.1"/>
    <n v="134.5"/>
    <n v="399.1"/>
    <n v="128.69999999999999"/>
    <n v="124.3"/>
    <n v="128.4"/>
    <n v="257.10000000000002"/>
    <n v="126.1"/>
    <n v="115.2"/>
    <n v="123.5"/>
    <n v="132.4"/>
    <n v="122.1"/>
    <n v="248.2"/>
    <n v="123.4"/>
    <n v="131.4"/>
  </r>
  <r>
    <x v="0"/>
    <x v="3"/>
    <x v="11"/>
    <n v="132"/>
    <n v="137.4"/>
    <n v="130.6"/>
    <n v="136.19999999999999"/>
    <n v="121.1"/>
    <n v="136.9"/>
    <n v="141.80000000000001"/>
    <n v="170"/>
    <n v="113.4"/>
    <n v="136.80000000000001"/>
    <n v="128.69999999999999"/>
    <n v="143.1"/>
    <n v="136.6"/>
    <n v="1764.6"/>
    <n v="141.19999999999999"/>
    <n v="139.9"/>
    <n v="134.5"/>
    <n v="139.19999999999999"/>
    <n v="413.59999999999997"/>
    <n v="129.1"/>
    <n v="130.30000000000001"/>
    <n v="132.1"/>
    <n v="261.2"/>
    <n v="129.1"/>
    <n v="118.2"/>
    <n v="126.9"/>
    <n v="133.69999999999999"/>
    <n v="123.5"/>
    <n v="252.6"/>
    <n v="126.1"/>
    <n v="133.6"/>
  </r>
  <r>
    <x v="1"/>
    <x v="3"/>
    <x v="11"/>
    <n v="130.19999999999999"/>
    <n v="138.5"/>
    <n v="134.1"/>
    <n v="132.9"/>
    <n v="112.6"/>
    <n v="130.80000000000001"/>
    <n v="142"/>
    <n v="174.9"/>
    <n v="115.6"/>
    <n v="145.4"/>
    <n v="122.7"/>
    <n v="140.30000000000001"/>
    <n v="135.19999999999999"/>
    <n v="1755.2"/>
    <n v="144.30000000000001"/>
    <n v="129.6"/>
    <n v="122.1"/>
    <n v="128.5"/>
    <n v="380.2"/>
    <n v="129.1"/>
    <n v="116.2"/>
    <n v="124.7"/>
    <n v="253.8"/>
    <n v="122.1"/>
    <n v="113.4"/>
    <n v="121.7"/>
    <n v="132.1"/>
    <n v="121.3"/>
    <n v="243.39999999999998"/>
    <n v="121.3"/>
    <n v="128.5"/>
  </r>
  <r>
    <x v="2"/>
    <x v="3"/>
    <x v="11"/>
    <n v="131.4"/>
    <n v="137.80000000000001"/>
    <n v="132"/>
    <n v="135"/>
    <n v="118"/>
    <n v="134.1"/>
    <n v="141.9"/>
    <n v="171.7"/>
    <n v="114.1"/>
    <n v="139.69999999999999"/>
    <n v="126.2"/>
    <n v="141.80000000000001"/>
    <n v="136.1"/>
    <n v="1759.8"/>
    <n v="142"/>
    <n v="135.80000000000001"/>
    <n v="129.30000000000001"/>
    <n v="135"/>
    <n v="400.1"/>
    <n v="129.1"/>
    <n v="125"/>
    <n v="128.6"/>
    <n v="257.7"/>
    <n v="126.4"/>
    <n v="115.7"/>
    <n v="124"/>
    <n v="132.80000000000001"/>
    <n v="122.6"/>
    <n v="249"/>
    <n v="123.8"/>
    <n v="131.19999999999999"/>
  </r>
  <r>
    <x v="0"/>
    <x v="3"/>
    <x v="12"/>
    <n v="132.6"/>
    <n v="137.30000000000001"/>
    <n v="131.6"/>
    <n v="136.30000000000001"/>
    <n v="121.6"/>
    <n v="135.6"/>
    <n v="127.5"/>
    <n v="167.9"/>
    <n v="113.8"/>
    <n v="137.5"/>
    <n v="129.1"/>
    <n v="143.6"/>
    <n v="134.69999999999999"/>
    <n v="1749.1"/>
    <n v="142.4"/>
    <n v="140.4"/>
    <n v="135.19999999999999"/>
    <n v="139.69999999999999"/>
    <n v="415.3"/>
    <n v="128.5"/>
    <n v="132"/>
    <n v="132.9"/>
    <n v="261.39999999999998"/>
    <n v="129.69999999999999"/>
    <n v="118.6"/>
    <n v="127.3"/>
    <n v="134.19999999999999"/>
    <n v="121.9"/>
    <n v="251.6"/>
    <n v="126.3"/>
    <n v="132.80000000000001"/>
  </r>
  <r>
    <x v="1"/>
    <x v="3"/>
    <x v="12"/>
    <n v="131.6"/>
    <n v="138.19999999999999"/>
    <n v="134.9"/>
    <n v="133.1"/>
    <n v="113.5"/>
    <n v="129.30000000000001"/>
    <n v="121.1"/>
    <n v="170.3"/>
    <n v="115.5"/>
    <n v="145.5"/>
    <n v="123.1"/>
    <n v="140.9"/>
    <n v="132.80000000000001"/>
    <n v="1729.8"/>
    <n v="145"/>
    <n v="130"/>
    <n v="122.2"/>
    <n v="128.80000000000001"/>
    <n v="381"/>
    <n v="128.5"/>
    <n v="117.8"/>
    <n v="125"/>
    <n v="253.5"/>
    <n v="122.3"/>
    <n v="113.7"/>
    <n v="121.8"/>
    <n v="132.30000000000001"/>
    <n v="119.9"/>
    <n v="242.2"/>
    <n v="121.4"/>
    <n v="127.6"/>
  </r>
  <r>
    <x v="2"/>
    <x v="3"/>
    <x v="12"/>
    <n v="132.30000000000001"/>
    <n v="137.6"/>
    <n v="132.9"/>
    <n v="135.1"/>
    <n v="118.6"/>
    <n v="132.69999999999999"/>
    <n v="125.3"/>
    <n v="168.7"/>
    <n v="114.4"/>
    <n v="140.19999999999999"/>
    <n v="126.6"/>
    <n v="142.30000000000001"/>
    <n v="134"/>
    <n v="1740.7"/>
    <n v="143.1"/>
    <n v="136.30000000000001"/>
    <n v="129.80000000000001"/>
    <n v="135.4"/>
    <n v="401.5"/>
    <n v="128.5"/>
    <n v="126.6"/>
    <n v="129.19999999999999"/>
    <n v="257.7"/>
    <n v="126.9"/>
    <n v="116"/>
    <n v="124.2"/>
    <n v="133.1"/>
    <n v="121.1"/>
    <n v="248"/>
    <n v="123.9"/>
    <n v="130.4"/>
  </r>
  <r>
    <x v="0"/>
    <x v="4"/>
    <x v="0"/>
    <n v="133.1"/>
    <n v="137.80000000000001"/>
    <n v="131.9"/>
    <n v="136.69999999999999"/>
    <n v="122"/>
    <n v="136"/>
    <n v="119.8"/>
    <n v="161.69999999999999"/>
    <n v="114.8"/>
    <n v="136.9"/>
    <n v="129"/>
    <n v="143.9"/>
    <n v="133.69999999999999"/>
    <n v="1737.3000000000002"/>
    <n v="143.1"/>
    <n v="140.69999999999999"/>
    <n v="135.80000000000001"/>
    <n v="140"/>
    <n v="416.5"/>
    <n v="129.6"/>
    <n v="132.1"/>
    <n v="133.19999999999999"/>
    <n v="262.79999999999995"/>
    <n v="129.9"/>
    <n v="119.1"/>
    <n v="127"/>
    <n v="134.6"/>
    <n v="122.3"/>
    <n v="252.2"/>
    <n v="126.6"/>
    <n v="132.4"/>
  </r>
  <r>
    <x v="1"/>
    <x v="4"/>
    <x v="0"/>
    <n v="132.19999999999999"/>
    <n v="138.9"/>
    <n v="132.6"/>
    <n v="133.1"/>
    <n v="114"/>
    <n v="129.6"/>
    <n v="118.7"/>
    <n v="155.1"/>
    <n v="117.3"/>
    <n v="144.9"/>
    <n v="123.2"/>
    <n v="141.6"/>
    <n v="132"/>
    <n v="1713.2"/>
    <n v="145.6"/>
    <n v="130.19999999999999"/>
    <n v="122.3"/>
    <n v="129"/>
    <n v="381.5"/>
    <n v="129.6"/>
    <n v="118"/>
    <n v="125.1"/>
    <n v="254.7"/>
    <n v="122.6"/>
    <n v="115.2"/>
    <n v="122"/>
    <n v="132.4"/>
    <n v="120.9"/>
    <n v="243.5"/>
    <n v="122.1"/>
    <n v="127.8"/>
  </r>
  <r>
    <x v="2"/>
    <x v="4"/>
    <x v="0"/>
    <n v="132.80000000000001"/>
    <n v="138.19999999999999"/>
    <n v="132.19999999999999"/>
    <n v="135.4"/>
    <n v="119.1"/>
    <n v="133"/>
    <n v="119.4"/>
    <n v="159.5"/>
    <n v="115.6"/>
    <n v="139.6"/>
    <n v="126.6"/>
    <n v="142.80000000000001"/>
    <n v="133.1"/>
    <n v="1727.2999999999995"/>
    <n v="143.80000000000001"/>
    <n v="136.6"/>
    <n v="130.19999999999999"/>
    <n v="135.6"/>
    <n v="402.4"/>
    <n v="129.6"/>
    <n v="126.8"/>
    <n v="129.4"/>
    <n v="259"/>
    <n v="127.1"/>
    <n v="117"/>
    <n v="124.2"/>
    <n v="133.30000000000001"/>
    <n v="121.7"/>
    <n v="248.8"/>
    <n v="124.4"/>
    <n v="130.30000000000001"/>
  </r>
  <r>
    <x v="0"/>
    <x v="4"/>
    <x v="1"/>
    <n v="133.30000000000001"/>
    <n v="138.30000000000001"/>
    <n v="129.30000000000001"/>
    <n v="137.19999999999999"/>
    <n v="122.1"/>
    <n v="138.69999999999999"/>
    <n v="119.1"/>
    <n v="156.9"/>
    <n v="116.2"/>
    <n v="136"/>
    <n v="129.4"/>
    <n v="144.4"/>
    <n v="133.6"/>
    <n v="1734.5000000000002"/>
    <n v="143.69999999999999"/>
    <n v="140.9"/>
    <n v="135.80000000000001"/>
    <n v="140.19999999999999"/>
    <n v="416.90000000000003"/>
    <n v="130.5"/>
    <n v="133.19999999999999"/>
    <n v="133.6"/>
    <n v="264.10000000000002"/>
    <n v="130.1"/>
    <n v="119.5"/>
    <n v="127.7"/>
    <n v="134.9"/>
    <n v="123.2"/>
    <n v="253.3"/>
    <n v="127"/>
    <n v="132.6"/>
  </r>
  <r>
    <x v="1"/>
    <x v="4"/>
    <x v="1"/>
    <n v="132.80000000000001"/>
    <n v="139.80000000000001"/>
    <n v="129.30000000000001"/>
    <n v="133.5"/>
    <n v="114.3"/>
    <n v="131.4"/>
    <n v="120.2"/>
    <n v="143.1"/>
    <n v="119.5"/>
    <n v="144"/>
    <n v="123.4"/>
    <n v="141.9"/>
    <n v="132.1"/>
    <n v="1705.3000000000002"/>
    <n v="146.30000000000001"/>
    <n v="130.5"/>
    <n v="122.5"/>
    <n v="129.30000000000001"/>
    <n v="382.3"/>
    <n v="130.5"/>
    <n v="119.2"/>
    <n v="125.3"/>
    <n v="255.8"/>
    <n v="122.9"/>
    <n v="115.5"/>
    <n v="122.2"/>
    <n v="132.4"/>
    <n v="121.7"/>
    <n v="244.60000000000002"/>
    <n v="122.4"/>
    <n v="128.19999999999999"/>
  </r>
  <r>
    <x v="2"/>
    <x v="4"/>
    <x v="1"/>
    <n v="133.1"/>
    <n v="138.80000000000001"/>
    <n v="129.30000000000001"/>
    <n v="135.80000000000001"/>
    <n v="119.2"/>
    <n v="135.30000000000001"/>
    <n v="119.5"/>
    <n v="152.19999999999999"/>
    <n v="117.3"/>
    <n v="138.69999999999999"/>
    <n v="126.9"/>
    <n v="143.19999999999999"/>
    <n v="133"/>
    <n v="1722.3000000000002"/>
    <n v="144.4"/>
    <n v="136.80000000000001"/>
    <n v="130.30000000000001"/>
    <n v="135.9"/>
    <n v="403"/>
    <n v="130.5"/>
    <n v="127.9"/>
    <n v="129.69999999999999"/>
    <n v="260.2"/>
    <n v="127.4"/>
    <n v="117.4"/>
    <n v="124.6"/>
    <n v="133.4"/>
    <n v="122.6"/>
    <n v="250"/>
    <n v="124.8"/>
    <n v="130.6"/>
  </r>
  <r>
    <x v="0"/>
    <x v="4"/>
    <x v="2"/>
    <n v="133.6"/>
    <n v="138.80000000000001"/>
    <n v="128.80000000000001"/>
    <n v="137.19999999999999"/>
    <n v="121.6"/>
    <n v="139.69999999999999"/>
    <n v="119.7"/>
    <n v="148"/>
    <n v="116.9"/>
    <n v="135.6"/>
    <n v="129.80000000000001"/>
    <n v="145.4"/>
    <n v="133.4"/>
    <n v="1728.5000000000002"/>
    <n v="144.19999999999999"/>
    <n v="141.6"/>
    <n v="136.19999999999999"/>
    <n v="140.80000000000001"/>
    <n v="418.59999999999997"/>
    <n v="131.1"/>
    <n v="134.19999999999999"/>
    <n v="134.1"/>
    <n v="265.2"/>
    <n v="130.6"/>
    <n v="119.8"/>
    <n v="128.30000000000001"/>
    <n v="135.19999999999999"/>
    <n v="123.3"/>
    <n v="253.89999999999998"/>
    <n v="127.4"/>
    <n v="132.80000000000001"/>
  </r>
  <r>
    <x v="1"/>
    <x v="4"/>
    <x v="2"/>
    <n v="132.69999999999999"/>
    <n v="139.4"/>
    <n v="128.4"/>
    <n v="134.9"/>
    <n v="114"/>
    <n v="136.80000000000001"/>
    <n v="122.2"/>
    <n v="135.80000000000001"/>
    <n v="120.3"/>
    <n v="142.6"/>
    <n v="123.6"/>
    <n v="142.4"/>
    <n v="132.6"/>
    <n v="1705.6999999999998"/>
    <n v="147.5"/>
    <n v="130.80000000000001"/>
    <n v="122.8"/>
    <n v="129.6"/>
    <n v="383.20000000000005"/>
    <n v="131.1"/>
    <n v="120.8"/>
    <n v="125.6"/>
    <n v="256.7"/>
    <n v="123.1"/>
    <n v="115.6"/>
    <n v="122.4"/>
    <n v="132.80000000000001"/>
    <n v="121.7"/>
    <n v="244.8"/>
    <n v="122.6"/>
    <n v="128.69999999999999"/>
  </r>
  <r>
    <x v="2"/>
    <x v="4"/>
    <x v="2"/>
    <n v="133.30000000000001"/>
    <n v="139"/>
    <n v="128.6"/>
    <n v="136.30000000000001"/>
    <n v="118.8"/>
    <n v="138.30000000000001"/>
    <n v="120.5"/>
    <n v="143.9"/>
    <n v="118"/>
    <n v="137.9"/>
    <n v="127.2"/>
    <n v="144"/>
    <n v="133.1"/>
    <n v="1718.9"/>
    <n v="145.1"/>
    <n v="137.30000000000001"/>
    <n v="130.6"/>
    <n v="136.4"/>
    <n v="404.29999999999995"/>
    <n v="131.1"/>
    <n v="129.1"/>
    <n v="130.1"/>
    <n v="261.2"/>
    <n v="127.8"/>
    <n v="117.6"/>
    <n v="125"/>
    <n v="133.80000000000001"/>
    <n v="122.6"/>
    <n v="250.39999999999998"/>
    <n v="125.1"/>
    <n v="130.9"/>
  </r>
  <r>
    <x v="0"/>
    <x v="4"/>
    <x v="3"/>
    <n v="133.19999999999999"/>
    <n v="138.69999999999999"/>
    <n v="127.1"/>
    <n v="137.69999999999999"/>
    <n v="121.3"/>
    <n v="141.80000000000001"/>
    <n v="121.5"/>
    <n v="144.5"/>
    <n v="117.4"/>
    <n v="134.1"/>
    <n v="130"/>
    <n v="145.5"/>
    <n v="133.5"/>
    <n v="1726.3"/>
    <n v="144.4"/>
    <n v="142.4"/>
    <n v="136.80000000000001"/>
    <n v="141.6"/>
    <n v="420.80000000000007"/>
    <n v="131.69999999999999"/>
    <n v="135"/>
    <n v="134.30000000000001"/>
    <n v="266"/>
    <n v="131"/>
    <n v="119.2"/>
    <n v="128.30000000000001"/>
    <n v="135.69999999999999"/>
    <n v="123.7"/>
    <n v="254.7"/>
    <n v="127.5"/>
    <n v="132.9"/>
  </r>
  <r>
    <x v="1"/>
    <x v="4"/>
    <x v="3"/>
    <n v="132.69999999999999"/>
    <n v="140.6"/>
    <n v="124.5"/>
    <n v="136.30000000000001"/>
    <n v="113.5"/>
    <n v="137.69999999999999"/>
    <n v="127.1"/>
    <n v="133.80000000000001"/>
    <n v="120.8"/>
    <n v="141.30000000000001"/>
    <n v="123.8"/>
    <n v="142.6"/>
    <n v="133.4"/>
    <n v="1708.1"/>
    <n v="148"/>
    <n v="131.19999999999999"/>
    <n v="123"/>
    <n v="130"/>
    <n v="384.2"/>
    <n v="131.69999999999999"/>
    <n v="121.4"/>
    <n v="126"/>
    <n v="257.7"/>
    <n v="123.4"/>
    <n v="114.3"/>
    <n v="122.6"/>
    <n v="133.6"/>
    <n v="122.2"/>
    <n v="245.60000000000002"/>
    <n v="122.5"/>
    <n v="129.1"/>
  </r>
  <r>
    <x v="2"/>
    <x v="4"/>
    <x v="3"/>
    <n v="133"/>
    <n v="139.4"/>
    <n v="126.1"/>
    <n v="137.19999999999999"/>
    <n v="118.4"/>
    <n v="139.9"/>
    <n v="123.4"/>
    <n v="140.9"/>
    <n v="118.5"/>
    <n v="136.5"/>
    <n v="127.4"/>
    <n v="144.19999999999999"/>
    <n v="133.5"/>
    <n v="1718.4"/>
    <n v="145.4"/>
    <n v="138"/>
    <n v="131.1"/>
    <n v="137"/>
    <n v="406.1"/>
    <n v="131.69999999999999"/>
    <n v="129.80000000000001"/>
    <n v="130.4"/>
    <n v="262.10000000000002"/>
    <n v="128.1"/>
    <n v="116.6"/>
    <n v="125.1"/>
    <n v="134.5"/>
    <n v="123.1"/>
    <n v="251.2"/>
    <n v="125.1"/>
    <n v="131.1"/>
  </r>
  <r>
    <x v="0"/>
    <x v="4"/>
    <x v="4"/>
    <n v="133.1"/>
    <n v="140.30000000000001"/>
    <n v="126.8"/>
    <n v="138.19999999999999"/>
    <n v="120.8"/>
    <n v="140.19999999999999"/>
    <n v="123.8"/>
    <n v="141.80000000000001"/>
    <n v="118.6"/>
    <n v="134"/>
    <n v="130.30000000000001"/>
    <n v="145.80000000000001"/>
    <n v="133.80000000000001"/>
    <n v="1727.4999999999995"/>
    <n v="145.5"/>
    <n v="142.5"/>
    <n v="137.30000000000001"/>
    <n v="141.80000000000001"/>
    <n v="421.6"/>
    <n v="132.1"/>
    <n v="135"/>
    <n v="134.9"/>
    <n v="267"/>
    <n v="131.4"/>
    <n v="119.4"/>
    <n v="129.4"/>
    <n v="136.30000000000001"/>
    <n v="123.7"/>
    <n v="255.10000000000002"/>
    <n v="127.9"/>
    <n v="133.30000000000001"/>
  </r>
  <r>
    <x v="1"/>
    <x v="4"/>
    <x v="4"/>
    <n v="132.6"/>
    <n v="144.1"/>
    <n v="125.6"/>
    <n v="136.80000000000001"/>
    <n v="113.4"/>
    <n v="135.19999999999999"/>
    <n v="129.19999999999999"/>
    <n v="131.5"/>
    <n v="121"/>
    <n v="139.9"/>
    <n v="123.8"/>
    <n v="142.9"/>
    <n v="133.6"/>
    <n v="1709.6"/>
    <n v="148.30000000000001"/>
    <n v="131.5"/>
    <n v="123.2"/>
    <n v="130.19999999999999"/>
    <n v="384.9"/>
    <n v="132.1"/>
    <n v="120.1"/>
    <n v="126.5"/>
    <n v="258.60000000000002"/>
    <n v="123.6"/>
    <n v="114.3"/>
    <n v="122.8"/>
    <n v="133.80000000000001"/>
    <n v="122"/>
    <n v="245.6"/>
    <n v="122.6"/>
    <n v="129.30000000000001"/>
  </r>
  <r>
    <x v="2"/>
    <x v="4"/>
    <x v="4"/>
    <n v="132.9"/>
    <n v="141.6"/>
    <n v="126.3"/>
    <n v="137.69999999999999"/>
    <n v="118.1"/>
    <n v="137.9"/>
    <n v="125.6"/>
    <n v="138.30000000000001"/>
    <n v="119.4"/>
    <n v="136"/>
    <n v="127.6"/>
    <n v="144.5"/>
    <n v="133.69999999999999"/>
    <n v="1719.6000000000001"/>
    <n v="146.19999999999999"/>
    <n v="138.19999999999999"/>
    <n v="131.4"/>
    <n v="137.19999999999999"/>
    <n v="406.8"/>
    <n v="132.1"/>
    <n v="129.4"/>
    <n v="130.9"/>
    <n v="263"/>
    <n v="128.4"/>
    <n v="116.7"/>
    <n v="125.7"/>
    <n v="134.80000000000001"/>
    <n v="123"/>
    <n v="251.4"/>
    <n v="125.3"/>
    <n v="131.4"/>
  </r>
  <r>
    <x v="0"/>
    <x v="4"/>
    <x v="5"/>
    <n v="133.5"/>
    <n v="143.69999999999999"/>
    <n v="128"/>
    <n v="138.6"/>
    <n v="120.9"/>
    <n v="140.9"/>
    <n v="128.80000000000001"/>
    <n v="140.19999999999999"/>
    <n v="118.9"/>
    <n v="133.5"/>
    <n v="130.4"/>
    <n v="146.5"/>
    <n v="134.9"/>
    <n v="1738.8000000000002"/>
    <n v="145.80000000000001"/>
    <n v="143.1"/>
    <n v="137.69999999999999"/>
    <n v="142.30000000000001"/>
    <n v="423.09999999999997"/>
    <n v="131.4"/>
    <n v="134.80000000000001"/>
    <n v="135.19999999999999"/>
    <n v="266.60000000000002"/>
    <n v="131.30000000000001"/>
    <n v="119.4"/>
    <n v="129.80000000000001"/>
    <n v="136.9"/>
    <n v="124.1"/>
    <n v="255.4"/>
    <n v="128.1"/>
    <n v="133.9"/>
  </r>
  <r>
    <x v="1"/>
    <x v="4"/>
    <x v="5"/>
    <n v="132.9"/>
    <n v="148.69999999999999"/>
    <n v="128.30000000000001"/>
    <n v="137.30000000000001"/>
    <n v="113.5"/>
    <n v="137.19999999999999"/>
    <n v="142.19999999999999"/>
    <n v="128.19999999999999"/>
    <n v="120.9"/>
    <n v="138.80000000000001"/>
    <n v="124.2"/>
    <n v="143.1"/>
    <n v="135.69999999999999"/>
    <n v="1731.0000000000002"/>
    <n v="148.6"/>
    <n v="131.5"/>
    <n v="123.2"/>
    <n v="130.19999999999999"/>
    <n v="384.9"/>
    <n v="131.4"/>
    <n v="119"/>
    <n v="126.8"/>
    <n v="258.2"/>
    <n v="123.8"/>
    <n v="113.9"/>
    <n v="122.9"/>
    <n v="134.30000000000001"/>
    <n v="122.5"/>
    <n v="246.3"/>
    <n v="122.7"/>
    <n v="129.9"/>
  </r>
  <r>
    <x v="2"/>
    <x v="4"/>
    <x v="5"/>
    <n v="133.30000000000001"/>
    <n v="145.5"/>
    <n v="128.1"/>
    <n v="138.1"/>
    <n v="118.2"/>
    <n v="139.19999999999999"/>
    <n v="133.30000000000001"/>
    <n v="136.19999999999999"/>
    <n v="119.6"/>
    <n v="135.30000000000001"/>
    <n v="127.8"/>
    <n v="144.9"/>
    <n v="135.19999999999999"/>
    <n v="1734.7"/>
    <n v="146.5"/>
    <n v="138.5"/>
    <n v="131.69999999999999"/>
    <n v="137.5"/>
    <n v="407.7"/>
    <n v="131.4"/>
    <n v="128.80000000000001"/>
    <n v="131.19999999999999"/>
    <n v="262.60000000000002"/>
    <n v="128.5"/>
    <n v="116.5"/>
    <n v="125.9"/>
    <n v="135.4"/>
    <n v="123.4"/>
    <n v="251.9"/>
    <n v="125.5"/>
    <n v="132"/>
  </r>
  <r>
    <x v="0"/>
    <x v="4"/>
    <x v="6"/>
    <n v="134"/>
    <n v="144.19999999999999"/>
    <n v="129.80000000000001"/>
    <n v="139"/>
    <n v="120.9"/>
    <n v="143.9"/>
    <n v="151.5"/>
    <n v="138.1"/>
    <n v="120"/>
    <n v="133.9"/>
    <n v="131.4"/>
    <n v="147.69999999999999"/>
    <n v="138.5"/>
    <n v="1772.9"/>
    <n v="147.4"/>
    <n v="144.30000000000001"/>
    <n v="138.1"/>
    <n v="143.5"/>
    <n v="425.9"/>
    <n v="132.6"/>
    <n v="135.30000000000001"/>
    <n v="136.1"/>
    <n v="268.7"/>
    <n v="132.1"/>
    <n v="119.1"/>
    <n v="130.6"/>
    <n v="138.6"/>
    <n v="124.4"/>
    <n v="256.5"/>
    <n v="128.6"/>
    <n v="136.19999999999999"/>
  </r>
  <r>
    <x v="1"/>
    <x v="4"/>
    <x v="6"/>
    <n v="132.80000000000001"/>
    <n v="148.4"/>
    <n v="129.4"/>
    <n v="137.69999999999999"/>
    <n v="113.4"/>
    <n v="139.4"/>
    <n v="175.1"/>
    <n v="124.7"/>
    <n v="121.5"/>
    <n v="137.80000000000001"/>
    <n v="124.4"/>
    <n v="143.69999999999999"/>
    <n v="139.80000000000001"/>
    <n v="1768.1"/>
    <n v="150.5"/>
    <n v="131.6"/>
    <n v="123.7"/>
    <n v="130.4"/>
    <n v="385.70000000000005"/>
    <n v="132.6"/>
    <n v="119.7"/>
    <n v="127.2"/>
    <n v="259.8"/>
    <n v="125"/>
    <n v="113.2"/>
    <n v="123.5"/>
    <n v="135.5"/>
    <n v="122.4"/>
    <n v="247.4"/>
    <n v="123"/>
    <n v="131.80000000000001"/>
  </r>
  <r>
    <x v="2"/>
    <x v="4"/>
    <x v="6"/>
    <n v="133.6"/>
    <n v="145.69999999999999"/>
    <n v="129.6"/>
    <n v="138.5"/>
    <n v="118.1"/>
    <n v="141.80000000000001"/>
    <n v="159.5"/>
    <n v="133.6"/>
    <n v="120.5"/>
    <n v="135.19999999999999"/>
    <n v="128.5"/>
    <n v="145.80000000000001"/>
    <n v="139"/>
    <n v="1769.3999999999999"/>
    <n v="148.19999999999999"/>
    <n v="139.30000000000001"/>
    <n v="132.1"/>
    <n v="138.30000000000001"/>
    <n v="409.7"/>
    <n v="132.6"/>
    <n v="129.4"/>
    <n v="131.9"/>
    <n v="264.5"/>
    <n v="129.4"/>
    <n v="116"/>
    <n v="126.6"/>
    <n v="136.80000000000001"/>
    <n v="123.6"/>
    <n v="253"/>
    <n v="125.9"/>
    <n v="134.19999999999999"/>
  </r>
  <r>
    <x v="0"/>
    <x v="4"/>
    <x v="7"/>
    <n v="134.80000000000001"/>
    <n v="143.1"/>
    <n v="130"/>
    <n v="139.4"/>
    <n v="120.5"/>
    <n v="148"/>
    <n v="162.9"/>
    <n v="137.4"/>
    <n v="120.8"/>
    <n v="134.69999999999999"/>
    <n v="131.6"/>
    <n v="148.69999999999999"/>
    <n v="140.6"/>
    <n v="1792.4999999999998"/>
    <n v="149"/>
    <n v="145.30000000000001"/>
    <n v="139.19999999999999"/>
    <n v="144.5"/>
    <n v="429"/>
    <n v="134.4"/>
    <n v="136.4"/>
    <n v="137.30000000000001"/>
    <n v="271.70000000000005"/>
    <n v="133"/>
    <n v="120.3"/>
    <n v="131.5"/>
    <n v="140.19999999999999"/>
    <n v="125.4"/>
    <n v="258.39999999999998"/>
    <n v="129.69999999999999"/>
    <n v="137.80000000000001"/>
  </r>
  <r>
    <x v="1"/>
    <x v="4"/>
    <x v="7"/>
    <n v="133.19999999999999"/>
    <n v="143.9"/>
    <n v="128.30000000000001"/>
    <n v="138.30000000000001"/>
    <n v="114.1"/>
    <n v="142.69999999999999"/>
    <n v="179.8"/>
    <n v="123.5"/>
    <n v="122.1"/>
    <n v="137.5"/>
    <n v="124.6"/>
    <n v="144.5"/>
    <n v="140.5"/>
    <n v="1772.9999999999998"/>
    <n v="152.1"/>
    <n v="132.69999999999999"/>
    <n v="124.3"/>
    <n v="131.4"/>
    <n v="388.4"/>
    <n v="134.4"/>
    <n v="118.9"/>
    <n v="127.7"/>
    <n v="262.10000000000002"/>
    <n v="125.7"/>
    <n v="114.6"/>
    <n v="124.1"/>
    <n v="135.69999999999999"/>
    <n v="123.3"/>
    <n v="249"/>
    <n v="123.8"/>
    <n v="132.69999999999999"/>
  </r>
  <r>
    <x v="2"/>
    <x v="4"/>
    <x v="7"/>
    <n v="134.30000000000001"/>
    <n v="143.4"/>
    <n v="129.30000000000001"/>
    <n v="139"/>
    <n v="118.1"/>
    <n v="145.5"/>
    <n v="168.6"/>
    <n v="132.69999999999999"/>
    <n v="121.2"/>
    <n v="135.6"/>
    <n v="128.69999999999999"/>
    <n v="146.80000000000001"/>
    <n v="140.6"/>
    <n v="1783.8"/>
    <n v="149.80000000000001"/>
    <n v="140.30000000000001"/>
    <n v="133"/>
    <n v="139.30000000000001"/>
    <n v="412.6"/>
    <n v="134.4"/>
    <n v="129.80000000000001"/>
    <n v="132.80000000000001"/>
    <n v="267.20000000000005"/>
    <n v="130.19999999999999"/>
    <n v="117.3"/>
    <n v="127.3"/>
    <n v="137.6"/>
    <n v="124.5"/>
    <n v="254.7"/>
    <n v="126.8"/>
    <n v="135.4"/>
  </r>
  <r>
    <x v="0"/>
    <x v="4"/>
    <x v="8"/>
    <n v="135.19999999999999"/>
    <n v="142"/>
    <n v="130.5"/>
    <n v="140.19999999999999"/>
    <n v="120.7"/>
    <n v="147.80000000000001"/>
    <n v="154.5"/>
    <n v="137.1"/>
    <n v="121"/>
    <n v="134.69999999999999"/>
    <n v="131.69999999999999"/>
    <n v="149.30000000000001"/>
    <n v="139.6"/>
    <n v="1784.3"/>
    <n v="149.80000000000001"/>
    <n v="146.1"/>
    <n v="139.69999999999999"/>
    <n v="145.19999999999999"/>
    <n v="430.99999999999994"/>
    <n v="135.69999999999999"/>
    <n v="137.4"/>
    <n v="137.9"/>
    <n v="273.60000000000002"/>
    <n v="133.4"/>
    <n v="121.2"/>
    <n v="132.30000000000001"/>
    <n v="139.6"/>
    <n v="126.7"/>
    <n v="260.10000000000002"/>
    <n v="130.30000000000001"/>
    <n v="137.6"/>
  </r>
  <r>
    <x v="1"/>
    <x v="4"/>
    <x v="8"/>
    <n v="133.6"/>
    <n v="143"/>
    <n v="129.69999999999999"/>
    <n v="138.69999999999999"/>
    <n v="114.5"/>
    <n v="137.5"/>
    <n v="160.69999999999999"/>
    <n v="124.5"/>
    <n v="122.4"/>
    <n v="137.30000000000001"/>
    <n v="124.8"/>
    <n v="145"/>
    <n v="138"/>
    <n v="1749.7"/>
    <n v="153.6"/>
    <n v="133.30000000000001"/>
    <n v="124.6"/>
    <n v="132"/>
    <n v="389.9"/>
    <n v="135.69999999999999"/>
    <n v="120.6"/>
    <n v="128.1"/>
    <n v="263.79999999999995"/>
    <n v="126.1"/>
    <n v="115.7"/>
    <n v="124.5"/>
    <n v="135.9"/>
    <n v="124.4"/>
    <n v="250.5"/>
    <n v="124.5"/>
    <n v="132.4"/>
  </r>
  <r>
    <x v="2"/>
    <x v="4"/>
    <x v="8"/>
    <n v="134.69999999999999"/>
    <n v="142.4"/>
    <n v="130.19999999999999"/>
    <n v="139.6"/>
    <n v="118.4"/>
    <n v="143"/>
    <n v="156.6"/>
    <n v="132.9"/>
    <n v="121.5"/>
    <n v="135.6"/>
    <n v="128.80000000000001"/>
    <n v="147.30000000000001"/>
    <n v="139"/>
    <n v="1769.9999999999998"/>
    <n v="150.80000000000001"/>
    <n v="141.1"/>
    <n v="133.4"/>
    <n v="140"/>
    <n v="414.5"/>
    <n v="135.69999999999999"/>
    <n v="131"/>
    <n v="133.30000000000001"/>
    <n v="269"/>
    <n v="130.6"/>
    <n v="118.3"/>
    <n v="127.9"/>
    <n v="137.4"/>
    <n v="125.7"/>
    <n v="256.3"/>
    <n v="127.5"/>
    <n v="135.19999999999999"/>
  </r>
  <r>
    <x v="0"/>
    <x v="4"/>
    <x v="9"/>
    <n v="135.9"/>
    <n v="141.9"/>
    <n v="131"/>
    <n v="141.5"/>
    <n v="121.4"/>
    <n v="146.69999999999999"/>
    <n v="157.1"/>
    <n v="136.4"/>
    <n v="121.4"/>
    <n v="135.6"/>
    <n v="131.30000000000001"/>
    <n v="150.30000000000001"/>
    <n v="140.4"/>
    <n v="1790.8999999999999"/>
    <n v="150.5"/>
    <n v="147.19999999999999"/>
    <n v="140.6"/>
    <n v="146.19999999999999"/>
    <n v="433.99999999999994"/>
    <n v="137.30000000000001"/>
    <n v="138.1"/>
    <n v="138.4"/>
    <n v="275.70000000000005"/>
    <n v="134.19999999999999"/>
    <n v="121"/>
    <n v="133"/>
    <n v="140.1"/>
    <n v="127.4"/>
    <n v="261.60000000000002"/>
    <n v="130.69999999999999"/>
    <n v="138.30000000000001"/>
  </r>
  <r>
    <x v="1"/>
    <x v="4"/>
    <x v="9"/>
    <n v="133.9"/>
    <n v="142.80000000000001"/>
    <n v="131.4"/>
    <n v="139.1"/>
    <n v="114.9"/>
    <n v="135.6"/>
    <n v="173.2"/>
    <n v="124.1"/>
    <n v="122.6"/>
    <n v="137.80000000000001"/>
    <n v="125.1"/>
    <n v="145.5"/>
    <n v="139.69999999999999"/>
    <n v="1765.6999999999998"/>
    <n v="154.6"/>
    <n v="134"/>
    <n v="124.9"/>
    <n v="132.6"/>
    <n v="391.5"/>
    <n v="137.30000000000001"/>
    <n v="122.6"/>
    <n v="128.30000000000001"/>
    <n v="265.60000000000002"/>
    <n v="126.6"/>
    <n v="115"/>
    <n v="124.8"/>
    <n v="136.30000000000001"/>
    <n v="124.6"/>
    <n v="251.2"/>
    <n v="124.5"/>
    <n v="133.5"/>
  </r>
  <r>
    <x v="2"/>
    <x v="4"/>
    <x v="9"/>
    <n v="135.30000000000001"/>
    <n v="142.19999999999999"/>
    <n v="131.19999999999999"/>
    <n v="140.6"/>
    <n v="119"/>
    <n v="141.5"/>
    <n v="162.6"/>
    <n v="132.30000000000001"/>
    <n v="121.8"/>
    <n v="136.30000000000001"/>
    <n v="128.69999999999999"/>
    <n v="148.1"/>
    <n v="140.1"/>
    <n v="1779.6999999999998"/>
    <n v="151.6"/>
    <n v="142"/>
    <n v="134.1"/>
    <n v="140.80000000000001"/>
    <n v="416.90000000000003"/>
    <n v="137.30000000000001"/>
    <n v="132.19999999999999"/>
    <n v="133.6"/>
    <n v="270.89999999999998"/>
    <n v="131.30000000000001"/>
    <n v="117.8"/>
    <n v="128.4"/>
    <n v="137.9"/>
    <n v="126.2"/>
    <n v="257.5"/>
    <n v="127.7"/>
    <n v="136.1"/>
  </r>
  <r>
    <x v="0"/>
    <x v="4"/>
    <x v="11"/>
    <n v="136.30000000000001"/>
    <n v="142.5"/>
    <n v="140.5"/>
    <n v="141.5"/>
    <n v="121.6"/>
    <n v="147.30000000000001"/>
    <n v="168"/>
    <n v="135.80000000000001"/>
    <n v="122.5"/>
    <n v="136"/>
    <n v="131.9"/>
    <n v="151.4"/>
    <n v="142.4"/>
    <n v="1817.7000000000003"/>
    <n v="152.1"/>
    <n v="148.19999999999999"/>
    <n v="141.5"/>
    <n v="147.30000000000001"/>
    <n v="437"/>
    <n v="138.6"/>
    <n v="141.1"/>
    <n v="139.4"/>
    <n v="278"/>
    <n v="135.80000000000001"/>
    <n v="121.6"/>
    <n v="133.69999999999999"/>
    <n v="141.5"/>
    <n v="128.1"/>
    <n v="263.89999999999998"/>
    <n v="131.69999999999999"/>
    <n v="140"/>
  </r>
  <r>
    <x v="1"/>
    <x v="4"/>
    <x v="11"/>
    <n v="134.30000000000001"/>
    <n v="142.1"/>
    <n v="146.69999999999999"/>
    <n v="139.5"/>
    <n v="115.2"/>
    <n v="136.4"/>
    <n v="185.2"/>
    <n v="122.2"/>
    <n v="123.9"/>
    <n v="138.30000000000001"/>
    <n v="125.4"/>
    <n v="146"/>
    <n v="141.5"/>
    <n v="1796.7"/>
    <n v="156.19999999999999"/>
    <n v="135"/>
    <n v="125.4"/>
    <n v="133.5"/>
    <n v="393.9"/>
    <n v="138.6"/>
    <n v="125.7"/>
    <n v="128.80000000000001"/>
    <n v="267.39999999999998"/>
    <n v="127.4"/>
    <n v="115.3"/>
    <n v="125.1"/>
    <n v="136.6"/>
    <n v="124.9"/>
    <n v="252.3"/>
    <n v="124.9"/>
    <n v="134.80000000000001"/>
  </r>
  <r>
    <x v="2"/>
    <x v="4"/>
    <x v="11"/>
    <n v="135.69999999999999"/>
    <n v="142.4"/>
    <n v="142.9"/>
    <n v="140.80000000000001"/>
    <n v="119.2"/>
    <n v="142.19999999999999"/>
    <n v="173.8"/>
    <n v="131.19999999999999"/>
    <n v="123"/>
    <n v="136.80000000000001"/>
    <n v="129.19999999999999"/>
    <n v="148.9"/>
    <n v="142.1"/>
    <n v="1808.2"/>
    <n v="153.19999999999999"/>
    <n v="143"/>
    <n v="134.80000000000001"/>
    <n v="141.80000000000001"/>
    <n v="419.6"/>
    <n v="138.6"/>
    <n v="135.30000000000001"/>
    <n v="134.4"/>
    <n v="273"/>
    <n v="132.6"/>
    <n v="118.3"/>
    <n v="128.9"/>
    <n v="138.6"/>
    <n v="126.8"/>
    <n v="259.39999999999998"/>
    <n v="128.4"/>
    <n v="137.6"/>
  </r>
  <r>
    <x v="0"/>
    <x v="4"/>
    <x v="12"/>
    <n v="136.4"/>
    <n v="143.69999999999999"/>
    <n v="144.80000000000001"/>
    <n v="141.9"/>
    <n v="123.1"/>
    <n v="147.19999999999999"/>
    <n v="161"/>
    <n v="133.80000000000001"/>
    <n v="121.9"/>
    <n v="135.80000000000001"/>
    <n v="131.1"/>
    <n v="151.4"/>
    <n v="141.5"/>
    <n v="1813.6000000000001"/>
    <n v="153.19999999999999"/>
    <n v="148"/>
    <n v="141.9"/>
    <n v="147.19999999999999"/>
    <n v="437.09999999999997"/>
    <n v="139.1"/>
    <n v="142.6"/>
    <n v="139.5"/>
    <n v="278.60000000000002"/>
    <n v="136.1"/>
    <n v="122"/>
    <n v="133.4"/>
    <n v="141.1"/>
    <n v="127.8"/>
    <n v="263.89999999999998"/>
    <n v="131.9"/>
    <n v="139.80000000000001"/>
  </r>
  <r>
    <x v="1"/>
    <x v="4"/>
    <x v="12"/>
    <n v="134.4"/>
    <n v="142.6"/>
    <n v="145.9"/>
    <n v="139.5"/>
    <n v="115.9"/>
    <n v="135"/>
    <n v="163.19999999999999"/>
    <n v="119.8"/>
    <n v="120.7"/>
    <n v="139.69999999999999"/>
    <n v="125.7"/>
    <n v="146.30000000000001"/>
    <n v="138.80000000000001"/>
    <n v="1767.5"/>
    <n v="157"/>
    <n v="135.6"/>
    <n v="125.6"/>
    <n v="134"/>
    <n v="395.2"/>
    <n v="139.1"/>
    <n v="126.8"/>
    <n v="129.30000000000001"/>
    <n v="268.39999999999998"/>
    <n v="128.19999999999999"/>
    <n v="115.3"/>
    <n v="125.6"/>
    <n v="136.69999999999999"/>
    <n v="124.6"/>
    <n v="252.79999999999998"/>
    <n v="125.1"/>
    <n v="134.1"/>
  </r>
  <r>
    <x v="2"/>
    <x v="4"/>
    <x v="12"/>
    <n v="135.80000000000001"/>
    <n v="143.30000000000001"/>
    <n v="145.19999999999999"/>
    <n v="141"/>
    <n v="120.5"/>
    <n v="141.5"/>
    <n v="161.69999999999999"/>
    <n v="129.1"/>
    <n v="121.5"/>
    <n v="137.1"/>
    <n v="128.80000000000001"/>
    <n v="149"/>
    <n v="140.5"/>
    <n v="1794.9999999999998"/>
    <n v="154.19999999999999"/>
    <n v="143.1"/>
    <n v="135.1"/>
    <n v="142"/>
    <n v="420.2"/>
    <n v="139.1"/>
    <n v="136.6"/>
    <n v="134.69999999999999"/>
    <n v="273.79999999999995"/>
    <n v="133.1"/>
    <n v="118.5"/>
    <n v="129"/>
    <n v="138.5"/>
    <n v="126.5"/>
    <n v="259.60000000000002"/>
    <n v="128.6"/>
    <n v="137.19999999999999"/>
  </r>
  <r>
    <x v="0"/>
    <x v="5"/>
    <x v="0"/>
    <n v="136.6"/>
    <n v="144.4"/>
    <n v="143.80000000000001"/>
    <n v="142"/>
    <n v="123.2"/>
    <n v="147.9"/>
    <n v="152.1"/>
    <n v="131.80000000000001"/>
    <n v="119.5"/>
    <n v="136"/>
    <n v="131.19999999999999"/>
    <n v="151.80000000000001"/>
    <n v="140.4"/>
    <n v="1800.7"/>
    <n v="153.6"/>
    <n v="148.30000000000001"/>
    <n v="142.30000000000001"/>
    <n v="147.5"/>
    <n v="438.1"/>
    <n v="140.4"/>
    <n v="142.30000000000001"/>
    <n v="139.80000000000001"/>
    <n v="280.20000000000005"/>
    <n v="136"/>
    <n v="122.7"/>
    <n v="134.30000000000001"/>
    <n v="141.6"/>
    <n v="128.6"/>
    <n v="264.60000000000002"/>
    <n v="132.30000000000001"/>
    <n v="139.30000000000001"/>
  </r>
  <r>
    <x v="1"/>
    <x v="5"/>
    <x v="0"/>
    <n v="134.6"/>
    <n v="143.69999999999999"/>
    <n v="143.6"/>
    <n v="139.6"/>
    <n v="116.4"/>
    <n v="133.80000000000001"/>
    <n v="150.5"/>
    <n v="118.4"/>
    <n v="117.3"/>
    <n v="140.5"/>
    <n v="125.9"/>
    <n v="146.80000000000001"/>
    <n v="137.19999999999999"/>
    <n v="1748.3000000000002"/>
    <n v="157.69999999999999"/>
    <n v="136"/>
    <n v="125.9"/>
    <n v="134.4"/>
    <n v="396.29999999999995"/>
    <n v="140.4"/>
    <n v="127.3"/>
    <n v="129.5"/>
    <n v="269.89999999999998"/>
    <n v="129"/>
    <n v="116.3"/>
    <n v="126.2"/>
    <n v="137.1"/>
    <n v="125.5"/>
    <n v="254.5"/>
    <n v="125.8"/>
    <n v="134.1"/>
  </r>
  <r>
    <x v="2"/>
    <x v="5"/>
    <x v="0"/>
    <n v="136"/>
    <n v="144.19999999999999"/>
    <n v="143.69999999999999"/>
    <n v="141.1"/>
    <n v="120.7"/>
    <n v="141.30000000000001"/>
    <n v="151.6"/>
    <n v="127.3"/>
    <n v="118.8"/>
    <n v="137.5"/>
    <n v="129"/>
    <n v="149.5"/>
    <n v="139.19999999999999"/>
    <n v="1779.9"/>
    <n v="154.69999999999999"/>
    <n v="143.5"/>
    <n v="135.5"/>
    <n v="142.30000000000001"/>
    <n v="421.3"/>
    <n v="140.4"/>
    <n v="136.6"/>
    <n v="134.9"/>
    <n v="275.3"/>
    <n v="133.30000000000001"/>
    <n v="119.3"/>
    <n v="129.69999999999999"/>
    <n v="139"/>
    <n v="127.3"/>
    <n v="260.60000000000002"/>
    <n v="129.1"/>
    <n v="136.9"/>
  </r>
  <r>
    <x v="0"/>
    <x v="5"/>
    <x v="1"/>
    <n v="136.4"/>
    <n v="143.69999999999999"/>
    <n v="140.6"/>
    <n v="141.5"/>
    <n v="122.9"/>
    <n v="149.4"/>
    <n v="142.4"/>
    <n v="130.19999999999999"/>
    <n v="117.9"/>
    <n v="135.6"/>
    <n v="130.5"/>
    <n v="151.69999999999999"/>
    <n v="138.69999999999999"/>
    <n v="1781.5"/>
    <n v="153.30000000000001"/>
    <n v="148.69999999999999"/>
    <n v="142.4"/>
    <n v="147.80000000000001"/>
    <n v="438.90000000000003"/>
    <n v="141.30000000000001"/>
    <n v="142.4"/>
    <n v="139.9"/>
    <n v="281.20000000000005"/>
    <n v="136.19999999999999"/>
    <n v="123.3"/>
    <n v="134.30000000000001"/>
    <n v="141.5"/>
    <n v="128.80000000000001"/>
    <n v="265"/>
    <n v="132.5"/>
    <n v="138.5"/>
  </r>
  <r>
    <x v="1"/>
    <x v="5"/>
    <x v="1"/>
    <n v="134.80000000000001"/>
    <n v="143"/>
    <n v="139.9"/>
    <n v="139.9"/>
    <n v="116.2"/>
    <n v="135.5"/>
    <n v="136.9"/>
    <n v="117"/>
    <n v="115.4"/>
    <n v="140.69999999999999"/>
    <n v="125.9"/>
    <n v="147.1"/>
    <n v="135.6"/>
    <n v="1727.9"/>
    <n v="159.30000000000001"/>
    <n v="136.30000000000001"/>
    <n v="126.1"/>
    <n v="134.69999999999999"/>
    <n v="397.09999999999997"/>
    <n v="141.30000000000001"/>
    <n v="127.3"/>
    <n v="129.9"/>
    <n v="271.20000000000005"/>
    <n v="129.80000000000001"/>
    <n v="117.4"/>
    <n v="126.5"/>
    <n v="137.19999999999999"/>
    <n v="126.2"/>
    <n v="256"/>
    <n v="126.5"/>
    <n v="134"/>
  </r>
  <r>
    <x v="2"/>
    <x v="5"/>
    <x v="1"/>
    <n v="135.9"/>
    <n v="143.5"/>
    <n v="140.30000000000001"/>
    <n v="140.9"/>
    <n v="120.4"/>
    <n v="142.9"/>
    <n v="140.5"/>
    <n v="125.8"/>
    <n v="117.1"/>
    <n v="137.30000000000001"/>
    <n v="128.6"/>
    <n v="149.6"/>
    <n v="137.6"/>
    <n v="1760.3999999999996"/>
    <n v="154.9"/>
    <n v="143.80000000000001"/>
    <n v="135.6"/>
    <n v="142.6"/>
    <n v="422"/>
    <n v="141.30000000000001"/>
    <n v="136.69999999999999"/>
    <n v="135.19999999999999"/>
    <n v="276.5"/>
    <n v="133.80000000000001"/>
    <n v="120.2"/>
    <n v="129.9"/>
    <n v="139"/>
    <n v="127.7"/>
    <n v="261.5"/>
    <n v="129.6"/>
    <n v="136.4"/>
  </r>
  <r>
    <x v="0"/>
    <x v="5"/>
    <x v="2"/>
    <n v="136.80000000000001"/>
    <n v="143.80000000000001"/>
    <n v="140"/>
    <n v="142"/>
    <n v="123.2"/>
    <n v="152.9"/>
    <n v="138"/>
    <n v="129.30000000000001"/>
    <n v="117.1"/>
    <n v="136.30000000000001"/>
    <n v="131.19999999999999"/>
    <n v="152.80000000000001"/>
    <n v="138.6"/>
    <n v="1781.9999999999998"/>
    <n v="155.1"/>
    <n v="149.19999999999999"/>
    <n v="143"/>
    <n v="148.30000000000001"/>
    <n v="440.5"/>
    <n v="142"/>
    <n v="142.6"/>
    <n v="139.9"/>
    <n v="281.89999999999998"/>
    <n v="136.69999999999999"/>
    <n v="124.6"/>
    <n v="135.1"/>
    <n v="142.69999999999999"/>
    <n v="129.30000000000001"/>
    <n v="266"/>
    <n v="133.30000000000001"/>
    <n v="138.69999999999999"/>
  </r>
  <r>
    <x v="1"/>
    <x v="5"/>
    <x v="2"/>
    <n v="135"/>
    <n v="143.1"/>
    <n v="135.5"/>
    <n v="139.9"/>
    <n v="116.5"/>
    <n v="138.5"/>
    <n v="128"/>
    <n v="115.5"/>
    <n v="114.2"/>
    <n v="140.69999999999999"/>
    <n v="126.2"/>
    <n v="147.6"/>
    <n v="134.80000000000001"/>
    <n v="1715.5"/>
    <n v="159.69999999999999"/>
    <n v="136.69999999999999"/>
    <n v="126.7"/>
    <n v="135.19999999999999"/>
    <n v="398.59999999999997"/>
    <n v="142"/>
    <n v="126.4"/>
    <n v="130.80000000000001"/>
    <n v="272.8"/>
    <n v="130.5"/>
    <n v="117.8"/>
    <n v="126.8"/>
    <n v="137.80000000000001"/>
    <n v="126.7"/>
    <n v="257.2"/>
    <n v="127.1"/>
    <n v="134"/>
  </r>
  <r>
    <x v="2"/>
    <x v="5"/>
    <x v="2"/>
    <n v="136.19999999999999"/>
    <n v="143.6"/>
    <n v="138.30000000000001"/>
    <n v="141.19999999999999"/>
    <n v="120.7"/>
    <n v="146.19999999999999"/>
    <n v="134.6"/>
    <n v="124.6"/>
    <n v="116.1"/>
    <n v="137.80000000000001"/>
    <n v="129.1"/>
    <n v="150.4"/>
    <n v="137.19999999999999"/>
    <n v="1756"/>
    <n v="156.30000000000001"/>
    <n v="144.30000000000001"/>
    <n v="136.19999999999999"/>
    <n v="143.1"/>
    <n v="423.6"/>
    <n v="142"/>
    <n v="136.5"/>
    <n v="135.6"/>
    <n v="277.60000000000002"/>
    <n v="134.30000000000001"/>
    <n v="121"/>
    <n v="130.4"/>
    <n v="139.80000000000001"/>
    <n v="128.19999999999999"/>
    <n v="262.5"/>
    <n v="130.30000000000001"/>
    <n v="136.5"/>
  </r>
  <r>
    <x v="0"/>
    <x v="5"/>
    <x v="3"/>
    <n v="137.1"/>
    <n v="144.5"/>
    <n v="135.9"/>
    <n v="142.4"/>
    <n v="123.5"/>
    <n v="156.4"/>
    <n v="135.1"/>
    <n v="128.4"/>
    <n v="115.2"/>
    <n v="137.19999999999999"/>
    <n v="131.9"/>
    <n v="153.80000000000001"/>
    <n v="138.6"/>
    <n v="1780"/>
    <n v="156.1"/>
    <n v="150.1"/>
    <n v="143.30000000000001"/>
    <n v="149.1"/>
    <n v="442.5"/>
    <n v="142.9"/>
    <n v="143.80000000000001"/>
    <n v="140.9"/>
    <n v="283.8"/>
    <n v="137.6"/>
    <n v="125.3"/>
    <n v="136"/>
    <n v="143.69999999999999"/>
    <n v="130.4"/>
    <n v="268"/>
    <n v="134.19999999999999"/>
    <n v="139.1"/>
  </r>
  <r>
    <x v="1"/>
    <x v="5"/>
    <x v="3"/>
    <n v="135"/>
    <n v="144.30000000000001"/>
    <n v="130.80000000000001"/>
    <n v="140.30000000000001"/>
    <n v="116.6"/>
    <n v="150.1"/>
    <n v="127.6"/>
    <n v="114"/>
    <n v="110.6"/>
    <n v="140.19999999999999"/>
    <n v="126.5"/>
    <n v="148.30000000000001"/>
    <n v="135.69999999999999"/>
    <n v="1720.0000000000002"/>
    <n v="159.19999999999999"/>
    <n v="137.80000000000001"/>
    <n v="127.4"/>
    <n v="136.19999999999999"/>
    <n v="401.40000000000003"/>
    <n v="142.9"/>
    <n v="124.6"/>
    <n v="131.80000000000001"/>
    <n v="274.70000000000005"/>
    <n v="131.30000000000001"/>
    <n v="118.9"/>
    <n v="127.6"/>
    <n v="139.69999999999999"/>
    <n v="127.6"/>
    <n v="258.89999999999998"/>
    <n v="128.19999999999999"/>
    <n v="134.80000000000001"/>
  </r>
  <r>
    <x v="2"/>
    <x v="5"/>
    <x v="3"/>
    <n v="136.4"/>
    <n v="144.4"/>
    <n v="133.9"/>
    <n v="141.6"/>
    <n v="121"/>
    <n v="153.5"/>
    <n v="132.6"/>
    <n v="123.5"/>
    <n v="113.7"/>
    <n v="138.19999999999999"/>
    <n v="129.6"/>
    <n v="151.19999999999999"/>
    <n v="137.5"/>
    <n v="1757.1000000000001"/>
    <n v="156.9"/>
    <n v="145.30000000000001"/>
    <n v="136.69999999999999"/>
    <n v="144"/>
    <n v="426"/>
    <n v="142.9"/>
    <n v="136.5"/>
    <n v="136.6"/>
    <n v="279.5"/>
    <n v="135.19999999999999"/>
    <n v="121.9"/>
    <n v="131.30000000000001"/>
    <n v="141.4"/>
    <n v="129.19999999999999"/>
    <n v="264.39999999999998"/>
    <n v="131.30000000000001"/>
    <n v="137.1"/>
  </r>
  <r>
    <x v="0"/>
    <x v="5"/>
    <x v="4"/>
    <n v="137.4"/>
    <n v="145.69999999999999"/>
    <n v="135.5"/>
    <n v="142.9"/>
    <n v="123.6"/>
    <n v="157.5"/>
    <n v="137.80000000000001"/>
    <n v="127.2"/>
    <n v="111.8"/>
    <n v="137.4"/>
    <n v="132.19999999999999"/>
    <n v="154.30000000000001"/>
    <n v="139.1"/>
    <n v="1782.4"/>
    <n v="157"/>
    <n v="150.80000000000001"/>
    <n v="144.1"/>
    <n v="149.80000000000001"/>
    <n v="444.7"/>
    <n v="143.19999999999999"/>
    <n v="144.30000000000001"/>
    <n v="141.80000000000001"/>
    <n v="285"/>
    <n v="138.4"/>
    <n v="126.4"/>
    <n v="136.80000000000001"/>
    <n v="144.4"/>
    <n v="131.19999999999999"/>
    <n v="269.60000000000002"/>
    <n v="135.1"/>
    <n v="139.80000000000001"/>
  </r>
  <r>
    <x v="1"/>
    <x v="5"/>
    <x v="4"/>
    <n v="135"/>
    <n v="148.19999999999999"/>
    <n v="130.5"/>
    <n v="140.69999999999999"/>
    <n v="116.4"/>
    <n v="151.30000000000001"/>
    <n v="131.4"/>
    <n v="112.8"/>
    <n v="105.3"/>
    <n v="139.6"/>
    <n v="126.6"/>
    <n v="148.69999999999999"/>
    <n v="136.4"/>
    <n v="1722.8999999999999"/>
    <n v="160.30000000000001"/>
    <n v="138.6"/>
    <n v="127.9"/>
    <n v="137"/>
    <n v="403.5"/>
    <n v="143.19999999999999"/>
    <n v="124.7"/>
    <n v="132.5"/>
    <n v="275.7"/>
    <n v="132"/>
    <n v="119.8"/>
    <n v="128"/>
    <n v="140.4"/>
    <n v="128.1"/>
    <n v="260.10000000000002"/>
    <n v="128.9"/>
    <n v="135.4"/>
  </r>
  <r>
    <x v="2"/>
    <x v="5"/>
    <x v="4"/>
    <n v="136.6"/>
    <n v="146.6"/>
    <n v="133.6"/>
    <n v="142.1"/>
    <n v="121"/>
    <n v="154.6"/>
    <n v="135.6"/>
    <n v="122.3"/>
    <n v="109.6"/>
    <n v="138.1"/>
    <n v="129.9"/>
    <n v="151.69999999999999"/>
    <n v="138.1"/>
    <n v="1759.8"/>
    <n v="157.9"/>
    <n v="146"/>
    <n v="137.4"/>
    <n v="144.69999999999999"/>
    <n v="428.09999999999997"/>
    <n v="143.19999999999999"/>
    <n v="136.9"/>
    <n v="137.4"/>
    <n v="280.60000000000002"/>
    <n v="136"/>
    <n v="122.9"/>
    <n v="131.80000000000001"/>
    <n v="142.1"/>
    <n v="129.9"/>
    <n v="265.89999999999998"/>
    <n v="132.1"/>
    <n v="137.80000000000001"/>
  </r>
  <r>
    <x v="0"/>
    <x v="5"/>
    <x v="5"/>
    <n v="137.6"/>
    <n v="148.1"/>
    <n v="136.69999999999999"/>
    <n v="143.19999999999999"/>
    <n v="124"/>
    <n v="154.1"/>
    <n v="143.5"/>
    <n v="126"/>
    <n v="112.4"/>
    <n v="137.6"/>
    <n v="132.80000000000001"/>
    <n v="154.30000000000001"/>
    <n v="140"/>
    <n v="1790.2999999999997"/>
    <n v="157.30000000000001"/>
    <n v="151.30000000000001"/>
    <n v="144.69999999999999"/>
    <n v="150.30000000000001"/>
    <n v="446.3"/>
    <n v="142.5"/>
    <n v="145.1"/>
    <n v="142.19999999999999"/>
    <n v="284.7"/>
    <n v="138.4"/>
    <n v="127.4"/>
    <n v="137.80000000000001"/>
    <n v="145.1"/>
    <n v="131.4"/>
    <n v="269.8"/>
    <n v="135.6"/>
    <n v="140.5"/>
  </r>
  <r>
    <x v="1"/>
    <x v="5"/>
    <x v="5"/>
    <n v="135.30000000000001"/>
    <n v="149.69999999999999"/>
    <n v="133.9"/>
    <n v="140.80000000000001"/>
    <n v="116.6"/>
    <n v="152.19999999999999"/>
    <n v="144"/>
    <n v="112.3"/>
    <n v="108.4"/>
    <n v="140"/>
    <n v="126.7"/>
    <n v="149"/>
    <n v="138.4"/>
    <n v="1747.3000000000002"/>
    <n v="161"/>
    <n v="138.9"/>
    <n v="128.69999999999999"/>
    <n v="137.4"/>
    <n v="405"/>
    <n v="142.5"/>
    <n v="126.5"/>
    <n v="133.1"/>
    <n v="275.60000000000002"/>
    <n v="132.6"/>
    <n v="120.4"/>
    <n v="128.5"/>
    <n v="141.19999999999999"/>
    <n v="128.19999999999999"/>
    <n v="260.79999999999995"/>
    <n v="129.5"/>
    <n v="136.19999999999999"/>
  </r>
  <r>
    <x v="2"/>
    <x v="5"/>
    <x v="5"/>
    <n v="136.9"/>
    <n v="148.69999999999999"/>
    <n v="135.6"/>
    <n v="142.30000000000001"/>
    <n v="121.3"/>
    <n v="153.19999999999999"/>
    <n v="143.69999999999999"/>
    <n v="121.4"/>
    <n v="111.1"/>
    <n v="138.4"/>
    <n v="130.30000000000001"/>
    <n v="151.80000000000001"/>
    <n v="139.4"/>
    <n v="1774.1000000000001"/>
    <n v="158.30000000000001"/>
    <n v="146.4"/>
    <n v="138.1"/>
    <n v="145.19999999999999"/>
    <n v="429.7"/>
    <n v="142.5"/>
    <n v="138.1"/>
    <n v="137.9"/>
    <n v="280.39999999999998"/>
    <n v="136.19999999999999"/>
    <n v="123.7"/>
    <n v="132.6"/>
    <n v="142.80000000000001"/>
    <n v="130.1"/>
    <n v="266.29999999999995"/>
    <n v="132.6"/>
    <n v="138.5"/>
  </r>
  <r>
    <x v="0"/>
    <x v="5"/>
    <x v="6"/>
    <n v="138.4"/>
    <n v="149.30000000000001"/>
    <n v="139.30000000000001"/>
    <n v="143.4"/>
    <n v="124.1"/>
    <n v="153.30000000000001"/>
    <n v="154.19999999999999"/>
    <n v="126.4"/>
    <n v="114.3"/>
    <n v="138.19999999999999"/>
    <n v="132.80000000000001"/>
    <n v="154.80000000000001"/>
    <n v="142"/>
    <n v="1810.5000000000002"/>
    <n v="156.1"/>
    <n v="151.5"/>
    <n v="145.1"/>
    <n v="150.6"/>
    <n v="447.20000000000005"/>
    <n v="143.6"/>
    <n v="146.80000000000001"/>
    <n v="143.1"/>
    <n v="286.7"/>
    <n v="139"/>
    <n v="127.5"/>
    <n v="138.4"/>
    <n v="145.80000000000001"/>
    <n v="131.4"/>
    <n v="270.39999999999998"/>
    <n v="136"/>
    <n v="141.80000000000001"/>
  </r>
  <r>
    <x v="1"/>
    <x v="5"/>
    <x v="6"/>
    <n v="135.6"/>
    <n v="148.6"/>
    <n v="139.1"/>
    <n v="141"/>
    <n v="116.7"/>
    <n v="149.69999999999999"/>
    <n v="159.19999999999999"/>
    <n v="112.6"/>
    <n v="111.8"/>
    <n v="140.30000000000001"/>
    <n v="126.8"/>
    <n v="149.4"/>
    <n v="140.30000000000001"/>
    <n v="1771.1"/>
    <n v="161.4"/>
    <n v="139.6"/>
    <n v="128.9"/>
    <n v="137.9"/>
    <n v="406.4"/>
    <n v="143.6"/>
    <n v="128.1"/>
    <n v="133.6"/>
    <n v="277.2"/>
    <n v="133.6"/>
    <n v="120.1"/>
    <n v="129"/>
    <n v="144"/>
    <n v="128.19999999999999"/>
    <n v="261.79999999999995"/>
    <n v="130.19999999999999"/>
    <n v="137.5"/>
  </r>
  <r>
    <x v="2"/>
    <x v="5"/>
    <x v="6"/>
    <n v="137.5"/>
    <n v="149.1"/>
    <n v="139.19999999999999"/>
    <n v="142.5"/>
    <n v="121.4"/>
    <n v="151.6"/>
    <n v="155.9"/>
    <n v="121.7"/>
    <n v="113.5"/>
    <n v="138.9"/>
    <n v="130.30000000000001"/>
    <n v="152.30000000000001"/>
    <n v="141.4"/>
    <n v="1795.3"/>
    <n v="157.5"/>
    <n v="146.80000000000001"/>
    <n v="138.4"/>
    <n v="145.6"/>
    <n v="430.80000000000007"/>
    <n v="143.6"/>
    <n v="139.69999999999999"/>
    <n v="138.6"/>
    <n v="282.2"/>
    <n v="137"/>
    <n v="123.6"/>
    <n v="133.1"/>
    <n v="144.69999999999999"/>
    <n v="130.1"/>
    <n v="267.10000000000002"/>
    <n v="133.19999999999999"/>
    <n v="139.80000000000001"/>
  </r>
  <r>
    <x v="0"/>
    <x v="5"/>
    <x v="7"/>
    <n v="139.19999999999999"/>
    <n v="148.80000000000001"/>
    <n v="139.1"/>
    <n v="143.5"/>
    <n v="125"/>
    <n v="154.4"/>
    <n v="156.30000000000001"/>
    <n v="126.8"/>
    <n v="115.4"/>
    <n v="138.6"/>
    <n v="133.80000000000001"/>
    <n v="155.19999999999999"/>
    <n v="142.69999999999999"/>
    <n v="1818.8"/>
    <n v="156.4"/>
    <n v="152.1"/>
    <n v="145.80000000000001"/>
    <n v="151.30000000000001"/>
    <n v="449.2"/>
    <n v="144.6"/>
    <n v="147.69999999999999"/>
    <n v="143.80000000000001"/>
    <n v="288.39999999999998"/>
    <n v="139.4"/>
    <n v="128.30000000000001"/>
    <n v="138.6"/>
    <n v="146.9"/>
    <n v="131.30000000000001"/>
    <n v="270.70000000000005"/>
    <n v="136.6"/>
    <n v="142.5"/>
  </r>
  <r>
    <x v="1"/>
    <x v="5"/>
    <x v="7"/>
    <n v="136.5"/>
    <n v="146.4"/>
    <n v="136.6"/>
    <n v="141.19999999999999"/>
    <n v="117.4"/>
    <n v="146.30000000000001"/>
    <n v="157.30000000000001"/>
    <n v="113.6"/>
    <n v="113.3"/>
    <n v="141.1"/>
    <n v="127.4"/>
    <n v="150.4"/>
    <n v="140.1"/>
    <n v="1767.6"/>
    <n v="162.1"/>
    <n v="140"/>
    <n v="129"/>
    <n v="138.30000000000001"/>
    <n v="407.3"/>
    <n v="144.6"/>
    <n v="129.80000000000001"/>
    <n v="134.4"/>
    <n v="279"/>
    <n v="134.9"/>
    <n v="120.7"/>
    <n v="129.80000000000001"/>
    <n v="145.30000000000001"/>
    <n v="128.30000000000001"/>
    <n v="263.20000000000005"/>
    <n v="131"/>
    <n v="138"/>
  </r>
  <r>
    <x v="2"/>
    <x v="5"/>
    <x v="7"/>
    <n v="138.30000000000001"/>
    <n v="148"/>
    <n v="138.1"/>
    <n v="142.6"/>
    <n v="122.2"/>
    <n v="150.6"/>
    <n v="156.6"/>
    <n v="122.4"/>
    <n v="114.7"/>
    <n v="139.4"/>
    <n v="131.1"/>
    <n v="153"/>
    <n v="141.69999999999999"/>
    <n v="1798.7000000000003"/>
    <n v="157.9"/>
    <n v="147.30000000000001"/>
    <n v="138.80000000000001"/>
    <n v="146.1"/>
    <n v="432.20000000000005"/>
    <n v="144.6"/>
    <n v="140.9"/>
    <n v="139.4"/>
    <n v="284"/>
    <n v="137.69999999999999"/>
    <n v="124.3"/>
    <n v="133.6"/>
    <n v="146"/>
    <n v="130.1"/>
    <n v="267.79999999999995"/>
    <n v="133.9"/>
    <n v="140.4"/>
  </r>
  <r>
    <x v="0"/>
    <x v="5"/>
    <x v="8"/>
    <n v="139.4"/>
    <n v="147.19999999999999"/>
    <n v="136.6"/>
    <n v="143.69999999999999"/>
    <n v="124.6"/>
    <n v="150.1"/>
    <n v="149.4"/>
    <n v="125.4"/>
    <n v="114.4"/>
    <n v="138.69999999999999"/>
    <n v="133.1"/>
    <n v="155.9"/>
    <n v="141.30000000000001"/>
    <n v="1799.8000000000002"/>
    <n v="157.69999999999999"/>
    <n v="152.1"/>
    <n v="146.1"/>
    <n v="151.30000000000001"/>
    <n v="449.5"/>
    <n v="145.30000000000001"/>
    <n v="149"/>
    <n v="144"/>
    <n v="289.3"/>
    <n v="140"/>
    <n v="129.9"/>
    <n v="140"/>
    <n v="147.6"/>
    <n v="132"/>
    <n v="272"/>
    <n v="137.4"/>
    <n v="142.1"/>
  </r>
  <r>
    <x v="1"/>
    <x v="5"/>
    <x v="8"/>
    <n v="137"/>
    <n v="143.1"/>
    <n v="132.80000000000001"/>
    <n v="141.5"/>
    <n v="117.8"/>
    <n v="140"/>
    <n v="151.30000000000001"/>
    <n v="113.5"/>
    <n v="112.3"/>
    <n v="141.19999999999999"/>
    <n v="127.7"/>
    <n v="151.30000000000001"/>
    <n v="138.9"/>
    <n v="1748.4"/>
    <n v="163.30000000000001"/>
    <n v="140.80000000000001"/>
    <n v="129.30000000000001"/>
    <n v="139.1"/>
    <n v="409.20000000000005"/>
    <n v="145.30000000000001"/>
    <n v="131.19999999999999"/>
    <n v="134.9"/>
    <n v="280.20000000000005"/>
    <n v="135.69999999999999"/>
    <n v="122.5"/>
    <n v="130.19999999999999"/>
    <n v="145.19999999999999"/>
    <n v="129.30000000000001"/>
    <n v="265"/>
    <n v="131.9"/>
    <n v="138.1"/>
  </r>
  <r>
    <x v="2"/>
    <x v="5"/>
    <x v="8"/>
    <n v="138.6"/>
    <n v="145.80000000000001"/>
    <n v="135.1"/>
    <n v="142.9"/>
    <n v="122.1"/>
    <n v="145.4"/>
    <n v="150"/>
    <n v="121.4"/>
    <n v="113.7"/>
    <n v="139.5"/>
    <n v="130.80000000000001"/>
    <n v="153.80000000000001"/>
    <n v="140.4"/>
    <n v="1779.5"/>
    <n v="159.19999999999999"/>
    <n v="147.69999999999999"/>
    <n v="139.1"/>
    <n v="146.5"/>
    <n v="433.29999999999995"/>
    <n v="145.30000000000001"/>
    <n v="142.30000000000001"/>
    <n v="139.69999999999999"/>
    <n v="285"/>
    <n v="138.4"/>
    <n v="126"/>
    <n v="134.5"/>
    <n v="146.19999999999999"/>
    <n v="130.9"/>
    <n v="269.3"/>
    <n v="134.69999999999999"/>
    <n v="140.19999999999999"/>
  </r>
  <r>
    <x v="0"/>
    <x v="5"/>
    <x v="9"/>
    <n v="139.30000000000001"/>
    <n v="147.6"/>
    <n v="134.6"/>
    <n v="141.9"/>
    <n v="123.5"/>
    <n v="144.5"/>
    <n v="147.6"/>
    <n v="121.4"/>
    <n v="112.3"/>
    <n v="139.5"/>
    <n v="134.6"/>
    <n v="155.19999999999999"/>
    <n v="140.19999999999999"/>
    <n v="1782.2"/>
    <n v="159.6"/>
    <n v="150.69999999999999"/>
    <n v="144.5"/>
    <n v="149.80000000000001"/>
    <n v="445"/>
    <n v="146.9"/>
    <n v="149.69999999999999"/>
    <n v="147.5"/>
    <n v="294.39999999999998"/>
    <n v="144.80000000000001"/>
    <n v="130.80000000000001"/>
    <n v="140.1"/>
    <n v="148"/>
    <n v="134.4"/>
    <n v="279.20000000000005"/>
    <n v="139.80000000000001"/>
    <n v="142.19999999999999"/>
  </r>
  <r>
    <x v="1"/>
    <x v="5"/>
    <x v="9"/>
    <n v="137.6"/>
    <n v="144.9"/>
    <n v="133.5"/>
    <n v="141.5"/>
    <n v="118"/>
    <n v="139.5"/>
    <n v="153"/>
    <n v="113.2"/>
    <n v="112.8"/>
    <n v="141.1"/>
    <n v="127.6"/>
    <n v="152"/>
    <n v="139.4"/>
    <n v="1754.1"/>
    <n v="164"/>
    <n v="141.5"/>
    <n v="129.80000000000001"/>
    <n v="139.69999999999999"/>
    <n v="411"/>
    <n v="146.30000000000001"/>
    <n v="133.4"/>
    <n v="135.1"/>
    <n v="281.39999999999998"/>
    <n v="136.19999999999999"/>
    <n v="123.3"/>
    <n v="130.69999999999999"/>
    <n v="145.5"/>
    <n v="130.4"/>
    <n v="266.60000000000002"/>
    <n v="132.5"/>
    <n v="138.9"/>
  </r>
  <r>
    <x v="2"/>
    <x v="5"/>
    <x v="9"/>
    <n v="137.4"/>
    <n v="149.5"/>
    <n v="137.30000000000001"/>
    <n v="141.9"/>
    <n v="121.1"/>
    <n v="142.5"/>
    <n v="146.69999999999999"/>
    <n v="119.1"/>
    <n v="111.9"/>
    <n v="141"/>
    <n v="133.6"/>
    <n v="154.5"/>
    <n v="139.69999999999999"/>
    <n v="1776.2"/>
    <n v="162.6"/>
    <n v="148"/>
    <n v="139.19999999999999"/>
    <n v="146.80000000000001"/>
    <n v="434"/>
    <n v="146.9"/>
    <n v="145.30000000000001"/>
    <n v="142.19999999999999"/>
    <n v="289.10000000000002"/>
    <n v="142.1"/>
    <n v="125.5"/>
    <n v="136.5"/>
    <n v="147.80000000000001"/>
    <n v="132"/>
    <n v="274.10000000000002"/>
    <n v="136.30000000000001"/>
    <n v="140.80000000000001"/>
  </r>
  <r>
    <x v="0"/>
    <x v="5"/>
    <x v="11"/>
    <n v="137.1"/>
    <n v="150.80000000000001"/>
    <n v="136.69999999999999"/>
    <n v="141.9"/>
    <n v="122.8"/>
    <n v="143.9"/>
    <n v="147.5"/>
    <n v="121"/>
    <n v="111.6"/>
    <n v="140.6"/>
    <n v="137.5"/>
    <n v="156.1"/>
    <n v="140"/>
    <n v="1787.4999999999995"/>
    <n v="161.9"/>
    <n v="151.69999999999999"/>
    <n v="145.5"/>
    <n v="150.80000000000001"/>
    <n v="448"/>
    <n v="146.9"/>
    <n v="150.30000000000001"/>
    <n v="148"/>
    <n v="294.89999999999998"/>
    <n v="145.4"/>
    <n v="130.30000000000001"/>
    <n v="143.1"/>
    <n v="150.19999999999999"/>
    <n v="133.1"/>
    <n v="278.5"/>
    <n v="140.1"/>
    <n v="142.4"/>
  </r>
  <r>
    <x v="1"/>
    <x v="5"/>
    <x v="11"/>
    <n v="138.1"/>
    <n v="146.30000000000001"/>
    <n v="137.80000000000001"/>
    <n v="141.6"/>
    <n v="118.1"/>
    <n v="141.5"/>
    <n v="145.19999999999999"/>
    <n v="115.3"/>
    <n v="112.5"/>
    <n v="141.4"/>
    <n v="128"/>
    <n v="152.6"/>
    <n v="139.1"/>
    <n v="1757.4999999999998"/>
    <n v="164.4"/>
    <n v="142.4"/>
    <n v="130.19999999999999"/>
    <n v="140.5"/>
    <n v="413.1"/>
    <n v="146.9"/>
    <n v="136.69999999999999"/>
    <n v="135.80000000000001"/>
    <n v="282.70000000000005"/>
    <n v="136.80000000000001"/>
    <n v="121.2"/>
    <n v="131.30000000000001"/>
    <n v="146.1"/>
    <n v="130.5"/>
    <n v="267.3"/>
    <n v="132.19999999999999"/>
    <n v="139"/>
  </r>
  <r>
    <x v="2"/>
    <x v="5"/>
    <x v="11"/>
    <n v="137.4"/>
    <n v="149.19999999999999"/>
    <n v="137.1"/>
    <n v="141.80000000000001"/>
    <n v="121.1"/>
    <n v="142.80000000000001"/>
    <n v="146.69999999999999"/>
    <n v="119.1"/>
    <n v="111.9"/>
    <n v="140.9"/>
    <n v="133.5"/>
    <n v="154.5"/>
    <n v="139.69999999999999"/>
    <n v="1775.7000000000003"/>
    <n v="162.6"/>
    <n v="148"/>
    <n v="139.1"/>
    <n v="146.69999999999999"/>
    <n v="433.8"/>
    <n v="146.9"/>
    <n v="145.1"/>
    <n v="142.19999999999999"/>
    <n v="289.10000000000002"/>
    <n v="142.1"/>
    <n v="125.5"/>
    <n v="136.5"/>
    <n v="147.80000000000001"/>
    <n v="132"/>
    <n v="274.10000000000002"/>
    <n v="136.30000000000001"/>
    <n v="140.80000000000001"/>
  </r>
  <r>
    <x v="0"/>
    <x v="5"/>
    <x v="12"/>
    <n v="137.1"/>
    <n v="151.9"/>
    <n v="137.4"/>
    <n v="142.4"/>
    <n v="124.2"/>
    <n v="140.19999999999999"/>
    <n v="136.6"/>
    <n v="120.9"/>
    <n v="109.9"/>
    <n v="140.19999999999999"/>
    <n v="137.80000000000001"/>
    <n v="156"/>
    <n v="138.5"/>
    <n v="1773.1000000000001"/>
    <n v="162.4"/>
    <n v="151.6"/>
    <n v="145.9"/>
    <n v="150.80000000000001"/>
    <n v="448.3"/>
    <n v="146.5"/>
    <n v="149"/>
    <n v="149.5"/>
    <n v="296"/>
    <n v="149.6"/>
    <n v="128.9"/>
    <n v="143.30000000000001"/>
    <n v="155.1"/>
    <n v="133.19999999999999"/>
    <n v="282.79999999999995"/>
    <n v="141.6"/>
    <n v="141.9"/>
  </r>
  <r>
    <x v="1"/>
    <x v="5"/>
    <x v="12"/>
    <n v="138.5"/>
    <n v="147.80000000000001"/>
    <n v="141.1"/>
    <n v="141.6"/>
    <n v="118.1"/>
    <n v="138.5"/>
    <n v="132.4"/>
    <n v="117.5"/>
    <n v="111"/>
    <n v="141.5"/>
    <n v="128.1"/>
    <n v="152.9"/>
    <n v="137.6"/>
    <n v="1746.6"/>
    <n v="164.6"/>
    <n v="142.69999999999999"/>
    <n v="130.30000000000001"/>
    <n v="140.80000000000001"/>
    <n v="413.8"/>
    <n v="146.5"/>
    <n v="132.4"/>
    <n v="136.19999999999999"/>
    <n v="282.7"/>
    <n v="137.30000000000001"/>
    <n v="118.8"/>
    <n v="131.69999999999999"/>
    <n v="146.5"/>
    <n v="130.80000000000001"/>
    <n v="268.10000000000002"/>
    <n v="131.69999999999999"/>
    <n v="138"/>
  </r>
  <r>
    <x v="2"/>
    <x v="5"/>
    <x v="12"/>
    <n v="137.5"/>
    <n v="150.5"/>
    <n v="138.80000000000001"/>
    <n v="142.1"/>
    <n v="122"/>
    <n v="139.4"/>
    <n v="135.19999999999999"/>
    <n v="119.8"/>
    <n v="110.3"/>
    <n v="140.6"/>
    <n v="133.80000000000001"/>
    <n v="154.6"/>
    <n v="138.19999999999999"/>
    <n v="1762.7999999999997"/>
    <n v="163"/>
    <n v="148.1"/>
    <n v="139.4"/>
    <n v="146.80000000000001"/>
    <n v="434.3"/>
    <n v="146.5"/>
    <n v="142.69999999999999"/>
    <n v="143.19999999999999"/>
    <n v="289.7"/>
    <n v="144.9"/>
    <n v="123.6"/>
    <n v="136.80000000000001"/>
    <n v="150.1"/>
    <n v="132.19999999999999"/>
    <n v="277.10000000000002"/>
    <n v="136.80000000000001"/>
    <n v="140.1"/>
  </r>
  <r>
    <x v="0"/>
    <x v="6"/>
    <x v="0"/>
    <n v="136.6"/>
    <n v="152.5"/>
    <n v="138.19999999999999"/>
    <n v="142.4"/>
    <n v="123.9"/>
    <n v="135.5"/>
    <n v="131.69999999999999"/>
    <n v="121.3"/>
    <n v="108.4"/>
    <n v="138.9"/>
    <n v="137"/>
    <n v="155.80000000000001"/>
    <n v="137.4"/>
    <n v="1759.6000000000001"/>
    <n v="162.69999999999999"/>
    <n v="150.6"/>
    <n v="145.1"/>
    <n v="149.9"/>
    <n v="445.6"/>
    <n v="147.69999999999999"/>
    <n v="146.19999999999999"/>
    <n v="150.1"/>
    <n v="297.79999999999995"/>
    <n v="149.6"/>
    <n v="128.6"/>
    <n v="142.9"/>
    <n v="155.19999999999999"/>
    <n v="133.5"/>
    <n v="283.10000000000002"/>
    <n v="141.69999999999999"/>
    <n v="141"/>
  </r>
  <r>
    <x v="1"/>
    <x v="6"/>
    <x v="0"/>
    <n v="138.30000000000001"/>
    <n v="149.4"/>
    <n v="143.5"/>
    <n v="141.69999999999999"/>
    <n v="118.1"/>
    <n v="135.19999999999999"/>
    <n v="130.5"/>
    <n v="118.2"/>
    <n v="110.4"/>
    <n v="140.4"/>
    <n v="128.1"/>
    <n v="153.19999999999999"/>
    <n v="137.30000000000001"/>
    <n v="1744.3000000000002"/>
    <n v="164.7"/>
    <n v="143"/>
    <n v="130.4"/>
    <n v="141.1"/>
    <n v="414.5"/>
    <n v="147.69999999999999"/>
    <n v="128.6"/>
    <n v="136.30000000000001"/>
    <n v="284"/>
    <n v="137.80000000000001"/>
    <n v="118.6"/>
    <n v="131.9"/>
    <n v="146.6"/>
    <n v="131.69999999999999"/>
    <n v="269.5"/>
    <n v="131.80000000000001"/>
    <n v="138"/>
  </r>
  <r>
    <x v="2"/>
    <x v="6"/>
    <x v="0"/>
    <n v="137.1"/>
    <n v="151.4"/>
    <n v="140.19999999999999"/>
    <n v="142.1"/>
    <n v="121.8"/>
    <n v="135.4"/>
    <n v="131.30000000000001"/>
    <n v="120.3"/>
    <n v="109.1"/>
    <n v="139.4"/>
    <n v="133.30000000000001"/>
    <n v="154.6"/>
    <n v="137.4"/>
    <n v="1753.3999999999999"/>
    <n v="163.19999999999999"/>
    <n v="147.6"/>
    <n v="139"/>
    <n v="146.4"/>
    <n v="433"/>
    <n v="147.69999999999999"/>
    <n v="139.5"/>
    <n v="143.6"/>
    <n v="291.29999999999995"/>
    <n v="145.1"/>
    <n v="123.3"/>
    <n v="136.69999999999999"/>
    <n v="150.19999999999999"/>
    <n v="132.80000000000001"/>
    <n v="277.89999999999998"/>
    <n v="136.9"/>
    <n v="139.6"/>
  </r>
  <r>
    <x v="0"/>
    <x v="6"/>
    <x v="1"/>
    <n v="136.80000000000001"/>
    <n v="153"/>
    <n v="139.1"/>
    <n v="142.5"/>
    <n v="124.1"/>
    <n v="135.80000000000001"/>
    <n v="128.69999999999999"/>
    <n v="121.5"/>
    <n v="108.3"/>
    <n v="139.19999999999999"/>
    <n v="137.4"/>
    <n v="156.19999999999999"/>
    <n v="137.19999999999999"/>
    <n v="1759.8000000000002"/>
    <n v="162.80000000000001"/>
    <n v="150.5"/>
    <n v="146.1"/>
    <n v="149.9"/>
    <n v="446.5"/>
    <n v="148.5"/>
    <n v="145.30000000000001"/>
    <n v="150.1"/>
    <n v="298.60000000000002"/>
    <n v="149.9"/>
    <n v="129.19999999999999"/>
    <n v="143.4"/>
    <n v="155.5"/>
    <n v="134.9"/>
    <n v="284.8"/>
    <n v="142.19999999999999"/>
    <n v="141"/>
  </r>
  <r>
    <x v="1"/>
    <x v="6"/>
    <x v="1"/>
    <n v="139.4"/>
    <n v="150.1"/>
    <n v="145.30000000000001"/>
    <n v="141.69999999999999"/>
    <n v="118.4"/>
    <n v="137"/>
    <n v="131.6"/>
    <n v="119.9"/>
    <n v="110.4"/>
    <n v="140.80000000000001"/>
    <n v="128.30000000000001"/>
    <n v="153.5"/>
    <n v="138"/>
    <n v="1754.4"/>
    <n v="164.9"/>
    <n v="143.30000000000001"/>
    <n v="130.80000000000001"/>
    <n v="141.4"/>
    <n v="415.5"/>
    <n v="148.5"/>
    <n v="127.1"/>
    <n v="136.6"/>
    <n v="285.10000000000002"/>
    <n v="138.5"/>
    <n v="119.2"/>
    <n v="132.19999999999999"/>
    <n v="146.6"/>
    <n v="133"/>
    <n v="271.5"/>
    <n v="132.4"/>
    <n v="138.6"/>
  </r>
  <r>
    <x v="2"/>
    <x v="6"/>
    <x v="1"/>
    <n v="137.6"/>
    <n v="152"/>
    <n v="141.5"/>
    <n v="142.19999999999999"/>
    <n v="122"/>
    <n v="136.4"/>
    <n v="129.69999999999999"/>
    <n v="121"/>
    <n v="109"/>
    <n v="139.69999999999999"/>
    <n v="133.6"/>
    <n v="154.9"/>
    <n v="137.5"/>
    <n v="1757.1"/>
    <n v="163.4"/>
    <n v="147.69999999999999"/>
    <n v="139.69999999999999"/>
    <n v="146.5"/>
    <n v="433.9"/>
    <n v="148.5"/>
    <n v="138.4"/>
    <n v="143.69999999999999"/>
    <n v="292.2"/>
    <n v="145.6"/>
    <n v="123.9"/>
    <n v="137.1"/>
    <n v="150.30000000000001"/>
    <n v="134.1"/>
    <n v="279.7"/>
    <n v="137.4"/>
    <n v="139.9"/>
  </r>
  <r>
    <x v="0"/>
    <x v="6"/>
    <x v="2"/>
    <n v="136.9"/>
    <n v="154.1"/>
    <n v="138.69999999999999"/>
    <n v="142.5"/>
    <n v="124.1"/>
    <n v="136.1"/>
    <n v="128.19999999999999"/>
    <n v="122.3"/>
    <n v="108.3"/>
    <n v="138.9"/>
    <n v="137.4"/>
    <n v="156.4"/>
    <n v="137.30000000000001"/>
    <n v="1761.2000000000003"/>
    <n v="162.9"/>
    <n v="150.80000000000001"/>
    <n v="146.1"/>
    <n v="150.1"/>
    <n v="447"/>
    <n v="149"/>
    <n v="146.4"/>
    <n v="150"/>
    <n v="299"/>
    <n v="150.4"/>
    <n v="129.9"/>
    <n v="143.80000000000001"/>
    <n v="155.5"/>
    <n v="134"/>
    <n v="284.39999999999998"/>
    <n v="142.4"/>
    <n v="141.19999999999999"/>
  </r>
  <r>
    <x v="1"/>
    <x v="6"/>
    <x v="2"/>
    <n v="139.69999999999999"/>
    <n v="151.1"/>
    <n v="142.9"/>
    <n v="141.9"/>
    <n v="118.4"/>
    <n v="139.4"/>
    <n v="141.19999999999999"/>
    <n v="120.7"/>
    <n v="110.4"/>
    <n v="140.69999999999999"/>
    <n v="128.5"/>
    <n v="153.9"/>
    <n v="139.6"/>
    <n v="1768.4"/>
    <n v="165.3"/>
    <n v="143.5"/>
    <n v="131.19999999999999"/>
    <n v="141.6"/>
    <n v="416.29999999999995"/>
    <n v="149"/>
    <n v="128.80000000000001"/>
    <n v="136.80000000000001"/>
    <n v="285.8"/>
    <n v="139.19999999999999"/>
    <n v="119.9"/>
    <n v="133"/>
    <n v="146.69999999999999"/>
    <n v="132.5"/>
    <n v="271.7"/>
    <n v="132.80000000000001"/>
    <n v="139.5"/>
  </r>
  <r>
    <x v="2"/>
    <x v="6"/>
    <x v="2"/>
    <n v="137.80000000000001"/>
    <n v="153"/>
    <n v="140.30000000000001"/>
    <n v="142.30000000000001"/>
    <n v="122"/>
    <n v="137.6"/>
    <n v="132.6"/>
    <n v="121.8"/>
    <n v="109"/>
    <n v="139.5"/>
    <n v="133.69999999999999"/>
    <n v="155.19999999999999"/>
    <n v="138.1"/>
    <n v="1762.9"/>
    <n v="163.5"/>
    <n v="147.9"/>
    <n v="139.9"/>
    <n v="146.69999999999999"/>
    <n v="434.5"/>
    <n v="149"/>
    <n v="139.69999999999999"/>
    <n v="143.80000000000001"/>
    <n v="292.8"/>
    <n v="146.19999999999999"/>
    <n v="124.6"/>
    <n v="137.69999999999999"/>
    <n v="150.30000000000001"/>
    <n v="133.4"/>
    <n v="279.60000000000002"/>
    <n v="137.69999999999999"/>
    <n v="140.4"/>
  </r>
  <r>
    <x v="0"/>
    <x v="6"/>
    <x v="4"/>
    <n v="137.4"/>
    <n v="159.5"/>
    <n v="134.5"/>
    <n v="142.6"/>
    <n v="124"/>
    <n v="143.69999999999999"/>
    <n v="133.4"/>
    <n v="125.1"/>
    <n v="109.3"/>
    <n v="139.30000000000001"/>
    <n v="137.69999999999999"/>
    <n v="156.4"/>
    <n v="139.19999999999999"/>
    <n v="1782.1000000000001"/>
    <n v="163.30000000000001"/>
    <n v="151.30000000000001"/>
    <n v="146.6"/>
    <n v="150.69999999999999"/>
    <n v="448.59999999999997"/>
    <n v="150.1"/>
    <n v="146.9"/>
    <n v="149.5"/>
    <n v="299.60000000000002"/>
    <n v="151.30000000000001"/>
    <n v="130.19999999999999"/>
    <n v="145.9"/>
    <n v="156.69999999999999"/>
    <n v="133.9"/>
    <n v="285.20000000000005"/>
    <n v="142.9"/>
    <n v="142.4"/>
  </r>
  <r>
    <x v="1"/>
    <x v="6"/>
    <x v="4"/>
    <n v="140.4"/>
    <n v="156.69999999999999"/>
    <n v="138.30000000000001"/>
    <n v="142.4"/>
    <n v="118.6"/>
    <n v="149.69999999999999"/>
    <n v="161.6"/>
    <n v="124.4"/>
    <n v="111.2"/>
    <n v="141"/>
    <n v="128.9"/>
    <n v="154.5"/>
    <n v="143.80000000000001"/>
    <n v="1811.5000000000002"/>
    <n v="166.2"/>
    <n v="144"/>
    <n v="131.69999999999999"/>
    <n v="142.19999999999999"/>
    <n v="417.9"/>
    <n v="150.1"/>
    <n v="129.4"/>
    <n v="137.19999999999999"/>
    <n v="287.29999999999995"/>
    <n v="139.80000000000001"/>
    <n v="120.1"/>
    <n v="134"/>
    <n v="148"/>
    <n v="132.6"/>
    <n v="272.39999999999998"/>
    <n v="133.30000000000001"/>
    <n v="141.5"/>
  </r>
  <r>
    <x v="2"/>
    <x v="6"/>
    <x v="4"/>
    <n v="138.30000000000001"/>
    <n v="158.5"/>
    <n v="136"/>
    <n v="142.5"/>
    <n v="122"/>
    <n v="146.5"/>
    <n v="143"/>
    <n v="124.9"/>
    <n v="109.9"/>
    <n v="139.9"/>
    <n v="134"/>
    <n v="155.5"/>
    <n v="140.9"/>
    <n v="1791.9000000000003"/>
    <n v="164.1"/>
    <n v="148.4"/>
    <n v="140.4"/>
    <n v="147.30000000000001"/>
    <n v="436.1"/>
    <n v="150.1"/>
    <n v="140.30000000000001"/>
    <n v="143.69999999999999"/>
    <n v="293.79999999999995"/>
    <n v="146.9"/>
    <n v="124.9"/>
    <n v="139.19999999999999"/>
    <n v="151.6"/>
    <n v="133.4"/>
    <n v="280.3"/>
    <n v="138.19999999999999"/>
    <n v="142"/>
  </r>
  <r>
    <x v="0"/>
    <x v="6"/>
    <x v="5"/>
    <n v="137.80000000000001"/>
    <n v="163.5"/>
    <n v="136.19999999999999"/>
    <n v="143.19999999999999"/>
    <n v="124.3"/>
    <n v="143.30000000000001"/>
    <n v="140.6"/>
    <n v="128.69999999999999"/>
    <n v="110.6"/>
    <n v="140.4"/>
    <n v="138"/>
    <n v="156.6"/>
    <n v="141"/>
    <n v="1804.1999999999998"/>
    <n v="164.2"/>
    <n v="151.4"/>
    <n v="146.5"/>
    <n v="150.69999999999999"/>
    <n v="448.59999999999997"/>
    <n v="149.4"/>
    <n v="147.80000000000001"/>
    <n v="149.6"/>
    <n v="299"/>
    <n v="151.69999999999999"/>
    <n v="130.19999999999999"/>
    <n v="146.4"/>
    <n v="157.69999999999999"/>
    <n v="134.80000000000001"/>
    <n v="286.5"/>
    <n v="143.30000000000001"/>
    <n v="143.6"/>
  </r>
  <r>
    <x v="1"/>
    <x v="6"/>
    <x v="5"/>
    <n v="140.69999999999999"/>
    <n v="159.6"/>
    <n v="140.4"/>
    <n v="143.4"/>
    <n v="118.6"/>
    <n v="150.9"/>
    <n v="169.8"/>
    <n v="127.4"/>
    <n v="111.8"/>
    <n v="141"/>
    <n v="129"/>
    <n v="155.1"/>
    <n v="145.6"/>
    <n v="1833.2999999999997"/>
    <n v="166.7"/>
    <n v="144.30000000000001"/>
    <n v="131.69999999999999"/>
    <n v="142.4"/>
    <n v="418.4"/>
    <n v="149.4"/>
    <n v="130.5"/>
    <n v="137.4"/>
    <n v="286.8"/>
    <n v="140.30000000000001"/>
    <n v="119.6"/>
    <n v="134.30000000000001"/>
    <n v="148.9"/>
    <n v="133.69999999999999"/>
    <n v="274"/>
    <n v="133.6"/>
    <n v="142.1"/>
  </r>
  <r>
    <x v="2"/>
    <x v="6"/>
    <x v="5"/>
    <n v="138.69999999999999"/>
    <n v="162.1"/>
    <n v="137.80000000000001"/>
    <n v="143.30000000000001"/>
    <n v="122.2"/>
    <n v="146.80000000000001"/>
    <n v="150.5"/>
    <n v="128.30000000000001"/>
    <n v="111"/>
    <n v="140.6"/>
    <n v="134.19999999999999"/>
    <n v="155.9"/>
    <n v="142.69999999999999"/>
    <n v="1814.1000000000001"/>
    <n v="164.9"/>
    <n v="148.6"/>
    <n v="140.4"/>
    <n v="147.4"/>
    <n v="436.4"/>
    <n v="149.4"/>
    <n v="141.19999999999999"/>
    <n v="143.80000000000001"/>
    <n v="293.20000000000005"/>
    <n v="147.4"/>
    <n v="124.6"/>
    <n v="139.6"/>
    <n v="152.5"/>
    <n v="134.30000000000001"/>
    <n v="281.70000000000005"/>
    <n v="138.6"/>
    <n v="142.9"/>
  </r>
  <r>
    <x v="0"/>
    <x v="6"/>
    <x v="6"/>
    <n v="138.4"/>
    <n v="164"/>
    <n v="138.4"/>
    <n v="143.9"/>
    <n v="124.4"/>
    <n v="146.4"/>
    <n v="150.1"/>
    <n v="130.6"/>
    <n v="110.8"/>
    <n v="141.69999999999999"/>
    <n v="138.5"/>
    <n v="156.69999999999999"/>
    <n v="143"/>
    <n v="1826.8999999999999"/>
    <n v="164.5"/>
    <n v="151.6"/>
    <n v="146.6"/>
    <n v="150.9"/>
    <n v="449.1"/>
    <n v="150.6"/>
    <n v="146.80000000000001"/>
    <n v="150"/>
    <n v="300.60000000000002"/>
    <n v="152.19999999999999"/>
    <n v="131.19999999999999"/>
    <n v="147.5"/>
    <n v="159.1"/>
    <n v="136.1"/>
    <n v="288.29999999999995"/>
    <n v="144.19999999999999"/>
    <n v="144.9"/>
  </r>
  <r>
    <x v="1"/>
    <x v="6"/>
    <x v="6"/>
    <n v="141.4"/>
    <n v="160.19999999999999"/>
    <n v="142.5"/>
    <n v="144.1"/>
    <n v="119.3"/>
    <n v="154.69999999999999"/>
    <n v="180.1"/>
    <n v="128.9"/>
    <n v="111.8"/>
    <n v="141.6"/>
    <n v="129.5"/>
    <n v="155.6"/>
    <n v="147.69999999999999"/>
    <n v="1857.3999999999999"/>
    <n v="167.2"/>
    <n v="144.69999999999999"/>
    <n v="131.9"/>
    <n v="142.69999999999999"/>
    <n v="419.3"/>
    <n v="150.6"/>
    <n v="127"/>
    <n v="137.69999999999999"/>
    <n v="288.29999999999995"/>
    <n v="140.80000000000001"/>
    <n v="120.6"/>
    <n v="135"/>
    <n v="150.4"/>
    <n v="135.1"/>
    <n v="275.89999999999998"/>
    <n v="134.5"/>
    <n v="143.30000000000001"/>
  </r>
  <r>
    <x v="2"/>
    <x v="6"/>
    <x v="6"/>
    <n v="139.30000000000001"/>
    <n v="162.69999999999999"/>
    <n v="140"/>
    <n v="144"/>
    <n v="122.5"/>
    <n v="150.30000000000001"/>
    <n v="160.30000000000001"/>
    <n v="130"/>
    <n v="111.1"/>
    <n v="141.69999999999999"/>
    <n v="134.69999999999999"/>
    <n v="156.19999999999999"/>
    <n v="144.69999999999999"/>
    <n v="1837.5"/>
    <n v="165.2"/>
    <n v="148.9"/>
    <n v="140.5"/>
    <n v="147.6"/>
    <n v="437"/>
    <n v="150.6"/>
    <n v="139.30000000000001"/>
    <n v="144.19999999999999"/>
    <n v="294.79999999999995"/>
    <n v="147.9"/>
    <n v="125.6"/>
    <n v="140.5"/>
    <n v="154"/>
    <n v="135.69999999999999"/>
    <n v="283.60000000000002"/>
    <n v="139.5"/>
    <n v="144.19999999999999"/>
  </r>
  <r>
    <x v="0"/>
    <x v="6"/>
    <x v="7"/>
    <n v="139.19999999999999"/>
    <n v="161.9"/>
    <n v="137.1"/>
    <n v="144.6"/>
    <n v="124.7"/>
    <n v="145.5"/>
    <n v="156.19999999999999"/>
    <n v="131.5"/>
    <n v="111.7"/>
    <n v="142.69999999999999"/>
    <n v="138.5"/>
    <n v="156.9"/>
    <n v="144"/>
    <n v="1834.5000000000002"/>
    <n v="165.1"/>
    <n v="151.80000000000001"/>
    <n v="146.6"/>
    <n v="151.1"/>
    <n v="449.5"/>
    <n v="151.6"/>
    <n v="146.4"/>
    <n v="150.19999999999999"/>
    <n v="301.79999999999995"/>
    <n v="152.69999999999999"/>
    <n v="131.4"/>
    <n v="148"/>
    <n v="159.69999999999999"/>
    <n v="138.80000000000001"/>
    <n v="291.5"/>
    <n v="144.9"/>
    <n v="145.69999999999999"/>
  </r>
  <r>
    <x v="1"/>
    <x v="6"/>
    <x v="7"/>
    <n v="142.1"/>
    <n v="158.30000000000001"/>
    <n v="140.80000000000001"/>
    <n v="144.9"/>
    <n v="119.9"/>
    <n v="153.9"/>
    <n v="189.1"/>
    <n v="129.80000000000001"/>
    <n v="112.7"/>
    <n v="142.5"/>
    <n v="129.80000000000001"/>
    <n v="156.19999999999999"/>
    <n v="149.1"/>
    <n v="1869.1"/>
    <n v="167.9"/>
    <n v="145"/>
    <n v="132.19999999999999"/>
    <n v="143"/>
    <n v="420.2"/>
    <n v="151.6"/>
    <n v="125.5"/>
    <n v="138.1"/>
    <n v="289.7"/>
    <n v="141.5"/>
    <n v="120.8"/>
    <n v="135.4"/>
    <n v="151.5"/>
    <n v="137.80000000000001"/>
    <n v="279.3"/>
    <n v="135.30000000000001"/>
    <n v="144.19999999999999"/>
  </r>
  <r>
    <x v="2"/>
    <x v="6"/>
    <x v="7"/>
    <n v="140.1"/>
    <n v="160.6"/>
    <n v="138.5"/>
    <n v="144.69999999999999"/>
    <n v="122.9"/>
    <n v="149.4"/>
    <n v="167.4"/>
    <n v="130.9"/>
    <n v="112"/>
    <n v="142.6"/>
    <n v="134.9"/>
    <n v="156.6"/>
    <n v="145.9"/>
    <n v="1846.5"/>
    <n v="165.8"/>
    <n v="149.1"/>
    <n v="140.6"/>
    <n v="147.9"/>
    <n v="437.6"/>
    <n v="151.6"/>
    <n v="138.5"/>
    <n v="144.5"/>
    <n v="296.10000000000002"/>
    <n v="148.5"/>
    <n v="125.8"/>
    <n v="140.9"/>
    <n v="154.9"/>
    <n v="138.4"/>
    <n v="286.89999999999998"/>
    <n v="140.19999999999999"/>
    <n v="145"/>
  </r>
  <r>
    <x v="0"/>
    <x v="6"/>
    <x v="8"/>
    <n v="140.1"/>
    <n v="161.9"/>
    <n v="138.30000000000001"/>
    <n v="145.69999999999999"/>
    <n v="125.1"/>
    <n v="143.80000000000001"/>
    <n v="163.4"/>
    <n v="132.19999999999999"/>
    <n v="112.8"/>
    <n v="144.19999999999999"/>
    <n v="138.5"/>
    <n v="157.19999999999999"/>
    <n v="145.5"/>
    <n v="1848.7"/>
    <n v="165.7"/>
    <n v="151.69999999999999"/>
    <n v="146.6"/>
    <n v="151"/>
    <n v="449.29999999999995"/>
    <n v="152.19999999999999"/>
    <n v="146.9"/>
    <n v="150.30000000000001"/>
    <n v="302.5"/>
    <n v="153.4"/>
    <n v="131.6"/>
    <n v="148.30000000000001"/>
    <n v="160.19999999999999"/>
    <n v="140.19999999999999"/>
    <n v="293.60000000000002"/>
    <n v="145.4"/>
    <n v="146.69999999999999"/>
  </r>
  <r>
    <x v="1"/>
    <x v="6"/>
    <x v="8"/>
    <n v="142.69999999999999"/>
    <n v="158.69999999999999"/>
    <n v="141.6"/>
    <n v="144.9"/>
    <n v="120.8"/>
    <n v="149.80000000000001"/>
    <n v="192.4"/>
    <n v="130.30000000000001"/>
    <n v="114"/>
    <n v="143.80000000000001"/>
    <n v="130"/>
    <n v="156.4"/>
    <n v="149.5"/>
    <n v="1874.9"/>
    <n v="168.6"/>
    <n v="145.30000000000001"/>
    <n v="132.19999999999999"/>
    <n v="143.30000000000001"/>
    <n v="420.8"/>
    <n v="152.19999999999999"/>
    <n v="126.6"/>
    <n v="138.30000000000001"/>
    <n v="290.5"/>
    <n v="141.9"/>
    <n v="121.2"/>
    <n v="135.9"/>
    <n v="151.6"/>
    <n v="139"/>
    <n v="280.89999999999998"/>
    <n v="135.69999999999999"/>
    <n v="144.69999999999999"/>
  </r>
  <r>
    <x v="2"/>
    <x v="6"/>
    <x v="8"/>
    <n v="140.9"/>
    <n v="160.80000000000001"/>
    <n v="139.6"/>
    <n v="145.4"/>
    <n v="123.5"/>
    <n v="146.6"/>
    <n v="173.2"/>
    <n v="131.6"/>
    <n v="113.2"/>
    <n v="144.1"/>
    <n v="135"/>
    <n v="156.80000000000001"/>
    <n v="147"/>
    <n v="1857.6999999999998"/>
    <n v="166.5"/>
    <n v="149.19999999999999"/>
    <n v="140.6"/>
    <n v="147.9"/>
    <n v="437.69999999999993"/>
    <n v="152.19999999999999"/>
    <n v="139.19999999999999"/>
    <n v="144.6"/>
    <n v="296.79999999999995"/>
    <n v="149"/>
    <n v="126.1"/>
    <n v="141.30000000000001"/>
    <n v="155.19999999999999"/>
    <n v="139.69999999999999"/>
    <n v="288.7"/>
    <n v="140.69999999999999"/>
    <n v="145.80000000000001"/>
  </r>
  <r>
    <x v="0"/>
    <x v="6"/>
    <x v="9"/>
    <n v="141"/>
    <n v="161.6"/>
    <n v="141.19999999999999"/>
    <n v="146.5"/>
    <n v="125.6"/>
    <n v="145.69999999999999"/>
    <n v="178.8"/>
    <n v="133.1"/>
    <n v="113.6"/>
    <n v="145.5"/>
    <n v="138.6"/>
    <n v="157.4"/>
    <n v="148.30000000000001"/>
    <n v="1876.8999999999996"/>
    <n v="166.3"/>
    <n v="151.69999999999999"/>
    <n v="146.69999999999999"/>
    <n v="151"/>
    <n v="449.4"/>
    <n v="153"/>
    <n v="147.69999999999999"/>
    <n v="150.6"/>
    <n v="303.60000000000002"/>
    <n v="153.69999999999999"/>
    <n v="131.69999999999999"/>
    <n v="148.69999999999999"/>
    <n v="160.69999999999999"/>
    <n v="140.30000000000001"/>
    <n v="294"/>
    <n v="145.69999999999999"/>
    <n v="148.30000000000001"/>
  </r>
  <r>
    <x v="1"/>
    <x v="6"/>
    <x v="9"/>
    <n v="143.5"/>
    <n v="159.80000000000001"/>
    <n v="144.69999999999999"/>
    <n v="145.6"/>
    <n v="121.1"/>
    <n v="150.6"/>
    <n v="207.2"/>
    <n v="131.19999999999999"/>
    <n v="114.8"/>
    <n v="145.19999999999999"/>
    <n v="130.19999999999999"/>
    <n v="156.80000000000001"/>
    <n v="151.9"/>
    <n v="1902.6000000000001"/>
    <n v="169.3"/>
    <n v="145.9"/>
    <n v="132.4"/>
    <n v="143.9"/>
    <n v="422.20000000000005"/>
    <n v="153"/>
    <n v="128.9"/>
    <n v="138.69999999999999"/>
    <n v="291.7"/>
    <n v="142.4"/>
    <n v="121.5"/>
    <n v="136.19999999999999"/>
    <n v="151.69999999999999"/>
    <n v="139.5"/>
    <n v="281.89999999999998"/>
    <n v="136"/>
    <n v="146"/>
  </r>
  <r>
    <x v="2"/>
    <x v="6"/>
    <x v="9"/>
    <n v="141.80000000000001"/>
    <n v="161"/>
    <n v="142.6"/>
    <n v="146.19999999999999"/>
    <n v="123.9"/>
    <n v="148"/>
    <n v="188.4"/>
    <n v="132.5"/>
    <n v="114"/>
    <n v="145.4"/>
    <n v="135.1"/>
    <n v="157.1"/>
    <n v="149.6"/>
    <n v="1885.5999999999997"/>
    <n v="167.1"/>
    <n v="149.4"/>
    <n v="140.80000000000001"/>
    <n v="148.19999999999999"/>
    <n v="438.40000000000003"/>
    <n v="153"/>
    <n v="140.6"/>
    <n v="145"/>
    <n v="298"/>
    <n v="149.4"/>
    <n v="126.3"/>
    <n v="141.69999999999999"/>
    <n v="155.4"/>
    <n v="140"/>
    <n v="289.39999999999998"/>
    <n v="141"/>
    <n v="147.19999999999999"/>
  </r>
  <r>
    <x v="0"/>
    <x v="6"/>
    <x v="11"/>
    <n v="141.80000000000001"/>
    <n v="163.69999999999999"/>
    <n v="143.80000000000001"/>
    <n v="147.1"/>
    <n v="126"/>
    <n v="146.19999999999999"/>
    <n v="191.4"/>
    <n v="136.19999999999999"/>
    <n v="113.8"/>
    <n v="147.30000000000001"/>
    <n v="138.69999999999999"/>
    <n v="157.69999999999999"/>
    <n v="150.9"/>
    <n v="1904.6000000000001"/>
    <n v="167.2"/>
    <n v="152.30000000000001"/>
    <n v="147"/>
    <n v="151.5"/>
    <n v="450.8"/>
    <n v="153.5"/>
    <n v="148.4"/>
    <n v="150.9"/>
    <n v="304.39999999999998"/>
    <n v="154.30000000000001"/>
    <n v="132.1"/>
    <n v="149.1"/>
    <n v="160.80000000000001"/>
    <n v="140.6"/>
    <n v="294.89999999999998"/>
    <n v="146.1"/>
    <n v="149.9"/>
  </r>
  <r>
    <x v="1"/>
    <x v="6"/>
    <x v="11"/>
    <n v="144.1"/>
    <n v="162.4"/>
    <n v="148.4"/>
    <n v="145.9"/>
    <n v="121.5"/>
    <n v="148.80000000000001"/>
    <n v="215.7"/>
    <n v="134.6"/>
    <n v="115"/>
    <n v="146.30000000000001"/>
    <n v="130.5"/>
    <n v="157.19999999999999"/>
    <n v="153.6"/>
    <n v="1923.9999999999998"/>
    <n v="169.9"/>
    <n v="146.30000000000001"/>
    <n v="132.6"/>
    <n v="144.19999999999999"/>
    <n v="423.09999999999997"/>
    <n v="153.5"/>
    <n v="132.19999999999999"/>
    <n v="139.1"/>
    <n v="292.60000000000002"/>
    <n v="142.80000000000001"/>
    <n v="121.7"/>
    <n v="136.69999999999999"/>
    <n v="151.80000000000001"/>
    <n v="139.80000000000001"/>
    <n v="282.60000000000002"/>
    <n v="136.30000000000001"/>
    <n v="147"/>
  </r>
  <r>
    <x v="2"/>
    <x v="6"/>
    <x v="11"/>
    <n v="142.5"/>
    <n v="163.19999999999999"/>
    <n v="145.6"/>
    <n v="146.69999999999999"/>
    <n v="124.3"/>
    <n v="147.4"/>
    <n v="199.6"/>
    <n v="135.69999999999999"/>
    <n v="114.2"/>
    <n v="147"/>
    <n v="135.30000000000001"/>
    <n v="157.5"/>
    <n v="151.9"/>
    <n v="1910.9"/>
    <n v="167.9"/>
    <n v="149.9"/>
    <n v="141"/>
    <n v="148.6"/>
    <n v="439.5"/>
    <n v="153.5"/>
    <n v="142.30000000000001"/>
    <n v="145.30000000000001"/>
    <n v="298.8"/>
    <n v="149.9"/>
    <n v="126.6"/>
    <n v="142.1"/>
    <n v="155.5"/>
    <n v="140.30000000000001"/>
    <n v="290.20000000000005"/>
    <n v="141.30000000000001"/>
    <n v="148.6"/>
  </r>
  <r>
    <x v="0"/>
    <x v="6"/>
    <x v="12"/>
    <n v="142.80000000000001"/>
    <n v="165.3"/>
    <n v="149.5"/>
    <n v="148.69999999999999"/>
    <n v="127.5"/>
    <n v="144.30000000000001"/>
    <n v="209.5"/>
    <n v="138.80000000000001"/>
    <n v="113.6"/>
    <n v="149.1"/>
    <n v="139.30000000000001"/>
    <n v="158.30000000000001"/>
    <n v="154.30000000000001"/>
    <n v="1940.9999999999995"/>
    <n v="167.8"/>
    <n v="152.6"/>
    <n v="147.30000000000001"/>
    <n v="151.9"/>
    <n v="451.79999999999995"/>
    <n v="152.80000000000001"/>
    <n v="149.9"/>
    <n v="151.19999999999999"/>
    <n v="304"/>
    <n v="154.80000000000001"/>
    <n v="135"/>
    <n v="149.5"/>
    <n v="161.1"/>
    <n v="140.6"/>
    <n v="295.39999999999998"/>
    <n v="147.1"/>
    <n v="152.30000000000001"/>
  </r>
  <r>
    <x v="1"/>
    <x v="6"/>
    <x v="12"/>
    <n v="144.9"/>
    <n v="164.5"/>
    <n v="153.69999999999999"/>
    <n v="147.5"/>
    <n v="122.7"/>
    <n v="147.19999999999999"/>
    <n v="231.5"/>
    <n v="137.19999999999999"/>
    <n v="114.7"/>
    <n v="148"/>
    <n v="130.80000000000001"/>
    <n v="157.69999999999999"/>
    <n v="156.30000000000001"/>
    <n v="1956.7"/>
    <n v="170.4"/>
    <n v="146.80000000000001"/>
    <n v="132.80000000000001"/>
    <n v="144.6"/>
    <n v="424.20000000000005"/>
    <n v="152.80000000000001"/>
    <n v="133.6"/>
    <n v="139.80000000000001"/>
    <n v="292.60000000000002"/>
    <n v="143.19999999999999"/>
    <n v="125.2"/>
    <n v="136.80000000000001"/>
    <n v="151.9"/>
    <n v="140.19999999999999"/>
    <n v="283.39999999999998"/>
    <n v="137.69999999999999"/>
    <n v="148.30000000000001"/>
  </r>
  <r>
    <x v="2"/>
    <x v="6"/>
    <x v="12"/>
    <n v="143.5"/>
    <n v="165"/>
    <n v="151.1"/>
    <n v="148.30000000000001"/>
    <n v="125.7"/>
    <n v="145.69999999999999"/>
    <n v="217"/>
    <n v="138.30000000000001"/>
    <n v="114"/>
    <n v="148.69999999999999"/>
    <n v="135.80000000000001"/>
    <n v="158"/>
    <n v="155"/>
    <n v="1946.1000000000001"/>
    <n v="168.5"/>
    <n v="150.30000000000001"/>
    <n v="141.30000000000001"/>
    <n v="149"/>
    <n v="440.6"/>
    <n v="152.80000000000001"/>
    <n v="143.69999999999999"/>
    <n v="145.80000000000001"/>
    <n v="298.60000000000002"/>
    <n v="150.4"/>
    <n v="129.80000000000001"/>
    <n v="142.30000000000001"/>
    <n v="155.69999999999999"/>
    <n v="140.4"/>
    <n v="290.8"/>
    <n v="142.5"/>
    <n v="150.4"/>
  </r>
  <r>
    <x v="0"/>
    <x v="7"/>
    <x v="0"/>
    <n v="143.69999999999999"/>
    <n v="167.3"/>
    <n v="153.5"/>
    <n v="150.5"/>
    <n v="132"/>
    <n v="142.19999999999999"/>
    <n v="191.5"/>
    <n v="141.1"/>
    <n v="113.8"/>
    <n v="151.6"/>
    <n v="139.69999999999999"/>
    <n v="158.69999999999999"/>
    <n v="153"/>
    <n v="1938.6"/>
    <n v="168.6"/>
    <n v="152.80000000000001"/>
    <n v="147.4"/>
    <n v="152.1"/>
    <n v="452.30000000000007"/>
    <n v="153.9"/>
    <n v="150.4"/>
    <n v="151.69999999999999"/>
    <n v="305.60000000000002"/>
    <n v="155.69999999999999"/>
    <n v="136.30000000000001"/>
    <n v="150.1"/>
    <n v="161.69999999999999"/>
    <n v="142.5"/>
    <n v="298.2"/>
    <n v="148.1"/>
    <n v="151.9"/>
  </r>
  <r>
    <x v="1"/>
    <x v="7"/>
    <x v="0"/>
    <n v="145.6"/>
    <n v="167.6"/>
    <n v="157"/>
    <n v="149.30000000000001"/>
    <n v="126.3"/>
    <n v="144.4"/>
    <n v="207.8"/>
    <n v="139.1"/>
    <n v="114.8"/>
    <n v="149.5"/>
    <n v="131.1"/>
    <n v="158.5"/>
    <n v="154.4"/>
    <n v="1945.3999999999999"/>
    <n v="170.8"/>
    <n v="147"/>
    <n v="133.19999999999999"/>
    <n v="144.9"/>
    <n v="425.1"/>
    <n v="153.9"/>
    <n v="135.1"/>
    <n v="140.1"/>
    <n v="294"/>
    <n v="143.80000000000001"/>
    <n v="126.1"/>
    <n v="137.19999999999999"/>
    <n v="152.1"/>
    <n v="142.1"/>
    <n v="285.89999999999998"/>
    <n v="138.4"/>
    <n v="148.19999999999999"/>
  </r>
  <r>
    <x v="2"/>
    <x v="7"/>
    <x v="0"/>
    <n v="144.30000000000001"/>
    <n v="167.4"/>
    <n v="154.9"/>
    <n v="150.1"/>
    <n v="129.9"/>
    <n v="143.19999999999999"/>
    <n v="197"/>
    <n v="140.4"/>
    <n v="114.1"/>
    <n v="150.9"/>
    <n v="136.1"/>
    <n v="158.6"/>
    <n v="153.5"/>
    <n v="1940.3999999999999"/>
    <n v="169.2"/>
    <n v="150.5"/>
    <n v="141.5"/>
    <n v="149.19999999999999"/>
    <n v="441.2"/>
    <n v="153.9"/>
    <n v="144.6"/>
    <n v="146.19999999999999"/>
    <n v="300.10000000000002"/>
    <n v="151.19999999999999"/>
    <n v="130.9"/>
    <n v="142.80000000000001"/>
    <n v="156.1"/>
    <n v="142.30000000000001"/>
    <n v="293.5"/>
    <n v="143.4"/>
    <n v="150.19999999999999"/>
  </r>
  <r>
    <x v="0"/>
    <x v="7"/>
    <x v="1"/>
    <n v="144.19999999999999"/>
    <n v="167.5"/>
    <n v="150.9"/>
    <n v="150.9"/>
    <n v="133.69999999999999"/>
    <n v="140.69999999999999"/>
    <n v="165.1"/>
    <n v="141.80000000000001"/>
    <n v="113.1"/>
    <n v="152.80000000000001"/>
    <n v="140.1"/>
    <n v="159.19999999999999"/>
    <n v="149.80000000000001"/>
    <n v="1909.7999999999997"/>
    <n v="169.4"/>
    <n v="153"/>
    <n v="147.5"/>
    <n v="152.30000000000001"/>
    <n v="452.8"/>
    <n v="154.80000000000001"/>
    <n v="152.30000000000001"/>
    <n v="151.80000000000001"/>
    <n v="306.60000000000002"/>
    <n v="156.19999999999999"/>
    <n v="136"/>
    <n v="150.4"/>
    <n v="161.9"/>
    <n v="143.4"/>
    <n v="299.60000000000002"/>
    <n v="148.4"/>
    <n v="150.4"/>
  </r>
  <r>
    <x v="1"/>
    <x v="7"/>
    <x v="1"/>
    <n v="146.19999999999999"/>
    <n v="167.6"/>
    <n v="153.1"/>
    <n v="150.69999999999999"/>
    <n v="127.4"/>
    <n v="143.1"/>
    <n v="181.7"/>
    <n v="139.6"/>
    <n v="114.6"/>
    <n v="150.4"/>
    <n v="131.5"/>
    <n v="159"/>
    <n v="151.69999999999999"/>
    <n v="1916.6"/>
    <n v="172"/>
    <n v="147.30000000000001"/>
    <n v="133.5"/>
    <n v="145.19999999999999"/>
    <n v="426"/>
    <n v="154.80000000000001"/>
    <n v="138.9"/>
    <n v="140.4"/>
    <n v="295.20000000000005"/>
    <n v="144.4"/>
    <n v="125.2"/>
    <n v="137.69999999999999"/>
    <n v="152.19999999999999"/>
    <n v="143.5"/>
    <n v="287.89999999999998"/>
    <n v="138.4"/>
    <n v="147.69999999999999"/>
  </r>
  <r>
    <x v="2"/>
    <x v="7"/>
    <x v="1"/>
    <n v="144.80000000000001"/>
    <n v="167.5"/>
    <n v="151.80000000000001"/>
    <n v="150.80000000000001"/>
    <n v="131.4"/>
    <n v="141.80000000000001"/>
    <n v="170.7"/>
    <n v="141.1"/>
    <n v="113.6"/>
    <n v="152"/>
    <n v="136.5"/>
    <n v="159.1"/>
    <n v="150.5"/>
    <n v="1911.6"/>
    <n v="170.1"/>
    <n v="150.80000000000001"/>
    <n v="141.69999999999999"/>
    <n v="149.5"/>
    <n v="442"/>
    <n v="154.80000000000001"/>
    <n v="147.19999999999999"/>
    <n v="146.4"/>
    <n v="301.20000000000005"/>
    <n v="151.69999999999999"/>
    <n v="130.30000000000001"/>
    <n v="143.19999999999999"/>
    <n v="156.19999999999999"/>
    <n v="143.4"/>
    <n v="295.10000000000002"/>
    <n v="143.6"/>
    <n v="149.1"/>
  </r>
  <r>
    <x v="0"/>
    <x v="7"/>
    <x v="2"/>
    <n v="144.4"/>
    <n v="166.8"/>
    <n v="147.6"/>
    <n v="151.69999999999999"/>
    <n v="133.30000000000001"/>
    <n v="141.80000000000001"/>
    <n v="152.30000000000001"/>
    <n v="141.80000000000001"/>
    <n v="112.6"/>
    <n v="154"/>
    <n v="140.1"/>
    <n v="160"/>
    <n v="148.19999999999999"/>
    <n v="1894.5999999999997"/>
    <n v="170.5"/>
    <n v="153.4"/>
    <n v="147.6"/>
    <n v="152.5"/>
    <n v="453.5"/>
    <n v="154.5"/>
    <n v="153.4"/>
    <n v="151.5"/>
    <n v="306"/>
    <n v="156.69999999999999"/>
    <n v="135.80000000000001"/>
    <n v="151.19999999999999"/>
    <n v="161.19999999999999"/>
    <n v="145.1"/>
    <n v="301.79999999999995"/>
    <n v="148.6"/>
    <n v="149.80000000000001"/>
  </r>
  <r>
    <x v="1"/>
    <x v="7"/>
    <x v="2"/>
    <n v="146.5"/>
    <n v="167.5"/>
    <n v="148.9"/>
    <n v="151.1"/>
    <n v="127.5"/>
    <n v="143.30000000000001"/>
    <n v="167"/>
    <n v="139.69999999999999"/>
    <n v="114.4"/>
    <n v="151.5"/>
    <n v="131.9"/>
    <n v="159.1"/>
    <n v="150.1"/>
    <n v="1898.5"/>
    <n v="173.3"/>
    <n v="147.69999999999999"/>
    <n v="133.80000000000001"/>
    <n v="145.6"/>
    <n v="427.1"/>
    <n v="154.5"/>
    <n v="141.4"/>
    <n v="140.80000000000001"/>
    <n v="295.3"/>
    <n v="145"/>
    <n v="124.6"/>
    <n v="137.9"/>
    <n v="152.5"/>
    <n v="145.30000000000001"/>
    <n v="290.3"/>
    <n v="138.69999999999999"/>
    <n v="147.30000000000001"/>
  </r>
  <r>
    <x v="2"/>
    <x v="7"/>
    <x v="2"/>
    <n v="145.1"/>
    <n v="167"/>
    <n v="148.1"/>
    <n v="151.5"/>
    <n v="131.19999999999999"/>
    <n v="142.5"/>
    <n v="157.30000000000001"/>
    <n v="141.1"/>
    <n v="113.2"/>
    <n v="153.19999999999999"/>
    <n v="136.69999999999999"/>
    <n v="159.6"/>
    <n v="148.9"/>
    <n v="1895.4"/>
    <n v="171.2"/>
    <n v="151.19999999999999"/>
    <n v="141.9"/>
    <n v="149.80000000000001"/>
    <n v="442.90000000000003"/>
    <n v="154.5"/>
    <n v="148.9"/>
    <n v="146.4"/>
    <n v="300.89999999999998"/>
    <n v="152.30000000000001"/>
    <n v="129.9"/>
    <n v="143.69999999999999"/>
    <n v="156.1"/>
    <n v="145.19999999999999"/>
    <n v="297.5"/>
    <n v="143.80000000000001"/>
    <n v="148.6"/>
  </r>
  <r>
    <x v="0"/>
    <x v="7"/>
    <x v="3"/>
    <n v="147.19999999999999"/>
    <n v="167.31666666666669"/>
    <n v="146.9"/>
    <n v="155.6"/>
    <n v="137.1"/>
    <n v="147.30000000000001"/>
    <n v="162.69999999999999"/>
    <n v="150.19999999999999"/>
    <n v="119.8"/>
    <n v="158.69999999999999"/>
    <n v="139.19999999999999"/>
    <n v="159.33333333333334"/>
    <n v="150.1"/>
    <n v="1941.45"/>
    <n v="171.08333333333334"/>
    <n v="150.56666666666669"/>
    <n v="140.99999999999997"/>
    <n v="149.15"/>
    <n v="440.7166666666667"/>
    <n v="155.6"/>
    <n v="148.4"/>
    <n v="146.21666666666667"/>
    <n v="301.81666666666666"/>
    <n v="154.30000000000001"/>
    <n v="130.29999999999998"/>
    <n v="144.01666666666665"/>
    <n v="156.68333333333334"/>
    <n v="144.31666666666669"/>
    <n v="298.61666666666667"/>
    <n v="143.58333333333334"/>
    <n v="148.81666666666666"/>
  </r>
  <r>
    <x v="1"/>
    <x v="7"/>
    <x v="3"/>
    <n v="151.80000000000001"/>
    <n v="167.28000000000003"/>
    <n v="151.9"/>
    <n v="155.5"/>
    <n v="131.6"/>
    <n v="152.9"/>
    <n v="180"/>
    <n v="150.80000000000001"/>
    <n v="121.2"/>
    <n v="154"/>
    <n v="133.5"/>
    <n v="159.36000000000001"/>
    <n v="153.5"/>
    <n v="1963.3400000000001"/>
    <n v="171.42000000000002"/>
    <n v="150.08000000000001"/>
    <n v="139.69999999999999"/>
    <n v="148.51999999999998"/>
    <n v="438.29999999999995"/>
    <n v="155.6"/>
    <n v="137.1"/>
    <n v="145.1"/>
    <n v="300.7"/>
    <n v="144.80000000000001"/>
    <n v="129.16"/>
    <n v="142.74"/>
    <n v="155.63999999999999"/>
    <n v="144.5"/>
    <n v="289.3"/>
    <n v="142.61999999999998"/>
    <n v="148.5"/>
  </r>
  <r>
    <x v="2"/>
    <x v="7"/>
    <x v="3"/>
    <n v="148.69999999999999"/>
    <n v="167.2"/>
    <n v="148.80000000000001"/>
    <n v="155.6"/>
    <n v="135.1"/>
    <n v="149.9"/>
    <n v="168.6"/>
    <n v="150.4"/>
    <n v="120.3"/>
    <n v="157.1"/>
    <n v="136.80000000000001"/>
    <n v="159.45000000000002"/>
    <n v="151.4"/>
    <n v="1949.35"/>
    <n v="171.27500000000003"/>
    <n v="150.77500000000001"/>
    <n v="141.25"/>
    <n v="149.35000000000002"/>
    <n v="441.375"/>
    <n v="155.6"/>
    <n v="144.1"/>
    <n v="146.27500000000001"/>
    <n v="301.875"/>
    <n v="150.69999999999999"/>
    <n v="130.15"/>
    <n v="144"/>
    <n v="156.5"/>
    <n v="144.75"/>
    <n v="295.45"/>
    <n v="143.67500000000001"/>
    <n v="148.69999999999999"/>
  </r>
  <r>
    <x v="0"/>
    <x v="7"/>
    <x v="4"/>
    <n v="149.23333333333332"/>
    <n v="167.1"/>
    <n v="149.20000000000002"/>
    <n v="155.56666666666669"/>
    <n v="134.6"/>
    <n v="150.03333333333333"/>
    <n v="170.43333333333331"/>
    <n v="150.46666666666667"/>
    <n v="120.43333333333334"/>
    <n v="156.6"/>
    <n v="136.5"/>
    <n v="159.56666666666669"/>
    <n v="151.66666666666666"/>
    <n v="1951.4"/>
    <n v="171.66666666666666"/>
    <n v="150.76666666666668"/>
    <n v="141.1"/>
    <n v="149.30000000000001"/>
    <n v="441.16666666666669"/>
    <n v="154.69999999999999"/>
    <n v="143.20000000000002"/>
    <n v="146.23333333333335"/>
    <n v="300.93333333333334"/>
    <n v="149.93333333333334"/>
    <n v="130.1"/>
    <n v="144.26666666666668"/>
    <n v="156.6"/>
    <n v="145.19999999999999"/>
    <n v="295.13333333333333"/>
    <n v="143.69999999999999"/>
    <n v="148.56666666666669"/>
  </r>
  <r>
    <x v="1"/>
    <x v="7"/>
    <x v="4"/>
    <n v="150.25"/>
    <n v="167.25"/>
    <n v="150.35000000000002"/>
    <n v="155.55000000000001"/>
    <n v="133.35"/>
    <n v="151.4"/>
    <n v="174.3"/>
    <n v="150.60000000000002"/>
    <n v="120.75"/>
    <n v="155.55000000000001"/>
    <n v="135.15"/>
    <n v="159.35"/>
    <n v="152.44999999999999"/>
    <n v="1956.3000000000002"/>
    <n v="172.25"/>
    <n v="149.44999999999999"/>
    <n v="137.85000000000002"/>
    <n v="147.69999999999999"/>
    <n v="435"/>
    <n v="154.69999999999999"/>
    <n v="140.6"/>
    <n v="143.60000000000002"/>
    <n v="298.3"/>
    <n v="147.75"/>
    <n v="127.25"/>
    <n v="140.80000000000001"/>
    <n v="154.30000000000001"/>
    <n v="145.25"/>
    <n v="293"/>
    <n v="141.25"/>
    <n v="147.94999999999999"/>
  </r>
  <r>
    <x v="2"/>
    <x v="7"/>
    <x v="4"/>
    <n v="148.69999999999999"/>
    <n v="167"/>
    <n v="148.80000000000001"/>
    <n v="155.6"/>
    <n v="135.1"/>
    <n v="149.9"/>
    <n v="168.6"/>
    <n v="150.4"/>
    <n v="120.3"/>
    <n v="157.1"/>
    <n v="136.80000000000001"/>
    <n v="159.6"/>
    <n v="151.4"/>
    <n v="1949.3"/>
    <n v="171.2"/>
    <n v="151.19999999999999"/>
    <n v="141.9"/>
    <n v="149.80000000000001"/>
    <n v="442.90000000000003"/>
    <n v="154.69999999999999"/>
    <n v="144.1"/>
    <n v="146.4"/>
    <n v="301.10000000000002"/>
    <n v="150.69999999999999"/>
    <n v="129.9"/>
    <n v="143.69999999999999"/>
    <n v="156.1"/>
    <n v="145.19999999999999"/>
    <n v="295.89999999999998"/>
    <n v="143.80000000000001"/>
    <n v="148.6"/>
  </r>
  <r>
    <x v="0"/>
    <x v="7"/>
    <x v="5"/>
    <n v="148.19999999999999"/>
    <n v="190.3"/>
    <n v="149.4"/>
    <n v="153.30000000000001"/>
    <n v="138.19999999999999"/>
    <n v="143.19999999999999"/>
    <n v="148.9"/>
    <n v="150.30000000000001"/>
    <n v="113.2"/>
    <n v="159.80000000000001"/>
    <n v="142.1"/>
    <n v="161.80000000000001"/>
    <n v="152.30000000000001"/>
    <n v="1951"/>
    <n v="182.4"/>
    <n v="154.69999999999999"/>
    <n v="150"/>
    <n v="154.1"/>
    <n v="458.79999999999995"/>
    <n v="154.69999999999999"/>
    <n v="144.9"/>
    <n v="151.69999999999999"/>
    <n v="306.39999999999998"/>
    <n v="158.19999999999999"/>
    <n v="141.4"/>
    <n v="153.19999999999999"/>
    <n v="161.80000000000001"/>
    <n v="151.19999999999999"/>
    <n v="309.39999999999998"/>
    <n v="151.69999999999999"/>
    <n v="152.69999999999999"/>
  </r>
  <r>
    <x v="1"/>
    <x v="7"/>
    <x v="5"/>
    <n v="152.69999999999999"/>
    <n v="197"/>
    <n v="154.6"/>
    <n v="153.4"/>
    <n v="132.9"/>
    <n v="151.80000000000001"/>
    <n v="171.2"/>
    <n v="152"/>
    <n v="116.3"/>
    <n v="158.80000000000001"/>
    <n v="135.6"/>
    <n v="161.69999999999999"/>
    <n v="157"/>
    <n v="1994.9999999999998"/>
    <n v="186.7"/>
    <n v="149.1"/>
    <n v="136.6"/>
    <n v="147.19999999999999"/>
    <n v="432.9"/>
    <n v="154.69999999999999"/>
    <n v="137.1"/>
    <n v="140.4"/>
    <n v="295.10000000000002"/>
    <n v="148.1"/>
    <n v="129.30000000000001"/>
    <n v="144.5"/>
    <n v="152.5"/>
    <n v="152.19999999999999"/>
    <n v="300.29999999999995"/>
    <n v="142"/>
    <n v="150.80000000000001"/>
  </r>
  <r>
    <x v="2"/>
    <x v="7"/>
    <x v="5"/>
    <n v="149.6"/>
    <n v="192.7"/>
    <n v="151.4"/>
    <n v="153.30000000000001"/>
    <n v="136.30000000000001"/>
    <n v="147.19999999999999"/>
    <n v="156.5"/>
    <n v="150.9"/>
    <n v="114.2"/>
    <n v="159.5"/>
    <n v="139.4"/>
    <n v="161.80000000000001"/>
    <n v="154"/>
    <n v="1966.8000000000002"/>
    <n v="183.5"/>
    <n v="152.5"/>
    <n v="144.4"/>
    <n v="151.4"/>
    <n v="448.29999999999995"/>
    <n v="154.69999999999999"/>
    <n v="141.9"/>
    <n v="146.4"/>
    <n v="301.10000000000002"/>
    <n v="154.4"/>
    <n v="135"/>
    <n v="148.30000000000001"/>
    <n v="156.4"/>
    <n v="151.6"/>
    <n v="306"/>
    <n v="147"/>
    <n v="151.80000000000001"/>
  </r>
  <r>
    <x v="0"/>
    <x v="7"/>
    <x v="6"/>
    <n v="148.19999999999999"/>
    <n v="190.3"/>
    <n v="149.4"/>
    <n v="153.30000000000001"/>
    <n v="138.19999999999999"/>
    <n v="143.19999999999999"/>
    <n v="148.9"/>
    <n v="150.30000000000001"/>
    <n v="113.2"/>
    <n v="159.80000000000001"/>
    <n v="142.1"/>
    <n v="161.80000000000001"/>
    <n v="152.30000000000001"/>
    <n v="1951"/>
    <n v="182.4"/>
    <n v="154.69999999999999"/>
    <n v="150"/>
    <n v="154.1"/>
    <n v="458.79999999999995"/>
    <n v="154.69999999999999"/>
    <n v="144.9"/>
    <n v="151.69999999999999"/>
    <n v="306.39999999999998"/>
    <n v="158.19999999999999"/>
    <n v="141.4"/>
    <n v="153.19999999999999"/>
    <n v="161.80000000000001"/>
    <n v="151.19999999999999"/>
    <n v="309.39999999999998"/>
    <n v="151.69999999999999"/>
    <n v="152.69999999999999"/>
  </r>
  <r>
    <x v="1"/>
    <x v="7"/>
    <x v="6"/>
    <n v="152.69999999999999"/>
    <n v="197"/>
    <n v="154.6"/>
    <n v="153.4"/>
    <n v="132.9"/>
    <n v="151.80000000000001"/>
    <n v="171.2"/>
    <n v="152"/>
    <n v="116.3"/>
    <n v="158.80000000000001"/>
    <n v="135.6"/>
    <n v="161.69999999999999"/>
    <n v="157"/>
    <n v="1994.9999999999998"/>
    <n v="186.7"/>
    <n v="149.1"/>
    <n v="136.6"/>
    <n v="147.19999999999999"/>
    <n v="432.9"/>
    <n v="154.69999999999999"/>
    <n v="137.1"/>
    <n v="140.4"/>
    <n v="295.10000000000002"/>
    <n v="148.1"/>
    <n v="129.30000000000001"/>
    <n v="144.5"/>
    <n v="152.5"/>
    <n v="152.19999999999999"/>
    <n v="300.29999999999995"/>
    <n v="142"/>
    <n v="150.80000000000001"/>
  </r>
  <r>
    <x v="2"/>
    <x v="7"/>
    <x v="6"/>
    <n v="149.6"/>
    <n v="192.7"/>
    <n v="151.4"/>
    <n v="153.30000000000001"/>
    <n v="136.30000000000001"/>
    <n v="147.19999999999999"/>
    <n v="156.5"/>
    <n v="150.9"/>
    <n v="114.2"/>
    <n v="159.5"/>
    <n v="139.4"/>
    <n v="161.80000000000001"/>
    <n v="154"/>
    <n v="1966.8000000000002"/>
    <n v="183.5"/>
    <n v="152.5"/>
    <n v="144.4"/>
    <n v="151.4"/>
    <n v="448.29999999999995"/>
    <n v="154.69999999999999"/>
    <n v="141.9"/>
    <n v="146.4"/>
    <n v="301.10000000000002"/>
    <n v="154.4"/>
    <n v="135"/>
    <n v="148.30000000000001"/>
    <n v="156.4"/>
    <n v="151.6"/>
    <n v="306"/>
    <n v="147"/>
    <n v="151.80000000000001"/>
  </r>
  <r>
    <x v="0"/>
    <x v="7"/>
    <x v="7"/>
    <n v="147.6"/>
    <n v="187.2"/>
    <n v="148.4"/>
    <n v="153.30000000000001"/>
    <n v="139.80000000000001"/>
    <n v="146.9"/>
    <n v="171"/>
    <n v="149.9"/>
    <n v="114.2"/>
    <n v="160"/>
    <n v="143.5"/>
    <n v="161.5"/>
    <n v="155.30000000000001"/>
    <n v="1978.6"/>
    <n v="180.9"/>
    <n v="155.1"/>
    <n v="149.30000000000001"/>
    <n v="154.30000000000001"/>
    <n v="458.7"/>
    <n v="155.5"/>
    <n v="145.80000000000001"/>
    <n v="151.9"/>
    <n v="307.39999999999998"/>
    <n v="158.80000000000001"/>
    <n v="143.6"/>
    <n v="152.19999999999999"/>
    <n v="162.69999999999999"/>
    <n v="153.6"/>
    <n v="312.39999999999998"/>
    <n v="153"/>
    <n v="154.69999999999999"/>
  </r>
  <r>
    <x v="1"/>
    <x v="7"/>
    <x v="7"/>
    <n v="151.6"/>
    <n v="197.8"/>
    <n v="154.5"/>
    <n v="153.4"/>
    <n v="133.4"/>
    <n v="154.5"/>
    <n v="191.9"/>
    <n v="151.30000000000001"/>
    <n v="116.8"/>
    <n v="160"/>
    <n v="136.5"/>
    <n v="163.30000000000001"/>
    <n v="159.9"/>
    <n v="2024.8999999999999"/>
    <n v="187.2"/>
    <n v="150"/>
    <n v="135.19999999999999"/>
    <n v="147.80000000000001"/>
    <n v="433"/>
    <n v="155.5"/>
    <n v="138.30000000000001"/>
    <n v="144.5"/>
    <n v="300"/>
    <n v="148.69999999999999"/>
    <n v="133.9"/>
    <n v="141.19999999999999"/>
    <n v="155.5"/>
    <n v="155.19999999999999"/>
    <n v="303.89999999999998"/>
    <n v="144.80000000000001"/>
    <n v="152.9"/>
  </r>
  <r>
    <x v="2"/>
    <x v="7"/>
    <x v="7"/>
    <n v="148.9"/>
    <n v="190.9"/>
    <n v="150.80000000000001"/>
    <n v="153.30000000000001"/>
    <n v="137.4"/>
    <n v="150.4"/>
    <n v="178.1"/>
    <n v="150.4"/>
    <n v="115.1"/>
    <n v="160"/>
    <n v="140.6"/>
    <n v="162.30000000000001"/>
    <n v="157"/>
    <n v="1995.1999999999998"/>
    <n v="182.6"/>
    <n v="153.1"/>
    <n v="143.4"/>
    <n v="151.69999999999999"/>
    <n v="448.2"/>
    <n v="155.5"/>
    <n v="143"/>
    <n v="148.4"/>
    <n v="303.89999999999998"/>
    <n v="155"/>
    <n v="138.5"/>
    <n v="146"/>
    <n v="158.5"/>
    <n v="154.30000000000001"/>
    <n v="309.3"/>
    <n v="149"/>
    <n v="153.9"/>
  </r>
  <r>
    <x v="0"/>
    <x v="7"/>
    <x v="8"/>
    <n v="146.9"/>
    <n v="183.9"/>
    <n v="149.5"/>
    <n v="153.4"/>
    <n v="140.4"/>
    <n v="147"/>
    <n v="178.8"/>
    <n v="149.30000000000001"/>
    <n v="115.1"/>
    <n v="160"/>
    <n v="145.4"/>
    <n v="161.6"/>
    <n v="156.1"/>
    <n v="1987.3999999999999"/>
    <n v="182.9"/>
    <n v="155.4"/>
    <n v="149.9"/>
    <n v="154.6"/>
    <n v="459.9"/>
    <n v="156.30000000000001"/>
    <n v="146.4"/>
    <n v="151.6"/>
    <n v="307.89999999999998"/>
    <n v="159.1"/>
    <n v="144.6"/>
    <n v="152.80000000000001"/>
    <n v="161.1"/>
    <n v="157.4"/>
    <n v="316.5"/>
    <n v="153.69999999999999"/>
    <n v="155.4"/>
  </r>
  <r>
    <x v="1"/>
    <x v="7"/>
    <x v="8"/>
    <n v="151.5"/>
    <n v="193.1"/>
    <n v="157.30000000000001"/>
    <n v="153.9"/>
    <n v="134.4"/>
    <n v="155.4"/>
    <n v="202"/>
    <n v="150.80000000000001"/>
    <n v="118.9"/>
    <n v="160.9"/>
    <n v="137.69999999999999"/>
    <n v="164.4"/>
    <n v="161.30000000000001"/>
    <n v="2041.6000000000001"/>
    <n v="188.7"/>
    <n v="150.19999999999999"/>
    <n v="136.30000000000001"/>
    <n v="148.1"/>
    <n v="434.6"/>
    <n v="156.30000000000001"/>
    <n v="137.19999999999999"/>
    <n v="145.4"/>
    <n v="301.70000000000005"/>
    <n v="150"/>
    <n v="135.1"/>
    <n v="141.80000000000001"/>
    <n v="154.9"/>
    <n v="159.80000000000001"/>
    <n v="309.8"/>
    <n v="146"/>
    <n v="154"/>
  </r>
  <r>
    <x v="2"/>
    <x v="7"/>
    <x v="8"/>
    <n v="148.4"/>
    <n v="187.1"/>
    <n v="152.5"/>
    <n v="153.6"/>
    <n v="138.19999999999999"/>
    <n v="150.9"/>
    <n v="186.7"/>
    <n v="149.80000000000001"/>
    <n v="116.4"/>
    <n v="160.30000000000001"/>
    <n v="142.19999999999999"/>
    <n v="162.9"/>
    <n v="158"/>
    <n v="2007"/>
    <n v="184.4"/>
    <n v="153.4"/>
    <n v="144.30000000000001"/>
    <n v="152"/>
    <n v="449.70000000000005"/>
    <n v="156.30000000000001"/>
    <n v="142.9"/>
    <n v="148.69999999999999"/>
    <n v="305"/>
    <n v="155.6"/>
    <n v="139.6"/>
    <n v="146.6"/>
    <n v="157.5"/>
    <n v="158.4"/>
    <n v="314"/>
    <n v="150"/>
    <n v="154.69999999999999"/>
  </r>
  <r>
    <x v="0"/>
    <x v="7"/>
    <x v="9"/>
    <n v="146"/>
    <n v="186.3"/>
    <n v="159.19999999999999"/>
    <n v="153.6"/>
    <n v="142.6"/>
    <n v="147.19999999999999"/>
    <n v="200.6"/>
    <n v="150.30000000000001"/>
    <n v="115.3"/>
    <n v="160.9"/>
    <n v="147.4"/>
    <n v="161.9"/>
    <n v="159.6"/>
    <n v="2030.9"/>
    <n v="182.7"/>
    <n v="155.69999999999999"/>
    <n v="150.6"/>
    <n v="155"/>
    <n v="461.29999999999995"/>
    <n v="156.5"/>
    <n v="146.80000000000001"/>
    <n v="152"/>
    <n v="308.5"/>
    <n v="159.5"/>
    <n v="146.4"/>
    <n v="152.4"/>
    <n v="162.5"/>
    <n v="156.19999999999999"/>
    <n v="315.7"/>
    <n v="154.30000000000001"/>
    <n v="157.5"/>
  </r>
  <r>
    <x v="1"/>
    <x v="7"/>
    <x v="9"/>
    <n v="150.6"/>
    <n v="193.7"/>
    <n v="164.8"/>
    <n v="153.69999999999999"/>
    <n v="135.69999999999999"/>
    <n v="155.69999999999999"/>
    <n v="226"/>
    <n v="152.19999999999999"/>
    <n v="118.1"/>
    <n v="161.30000000000001"/>
    <n v="139.19999999999999"/>
    <n v="164.8"/>
    <n v="164.4"/>
    <n v="2080.1999999999998"/>
    <n v="188.7"/>
    <n v="150.5"/>
    <n v="136.1"/>
    <n v="148.30000000000001"/>
    <n v="434.90000000000003"/>
    <n v="156.5"/>
    <n v="137.1"/>
    <n v="145.1"/>
    <n v="301.60000000000002"/>
    <n v="151"/>
    <n v="135.4"/>
    <n v="142"/>
    <n v="155.69999999999999"/>
    <n v="158.1"/>
    <n v="309.10000000000002"/>
    <n v="146.19999999999999"/>
    <n v="155.19999999999999"/>
  </r>
  <r>
    <x v="2"/>
    <x v="7"/>
    <x v="9"/>
    <n v="147.5"/>
    <n v="188.9"/>
    <n v="161.4"/>
    <n v="153.6"/>
    <n v="140.1"/>
    <n v="151.19999999999999"/>
    <n v="209.2"/>
    <n v="150.9"/>
    <n v="116.2"/>
    <n v="161"/>
    <n v="144"/>
    <n v="163.19999999999999"/>
    <n v="161.4"/>
    <n v="2048.6000000000004"/>
    <n v="184.3"/>
    <n v="153.69999999999999"/>
    <n v="144.6"/>
    <n v="152.30000000000001"/>
    <n v="450.59999999999997"/>
    <n v="156.5"/>
    <n v="143.1"/>
    <n v="148.69999999999999"/>
    <n v="305.2"/>
    <n v="156.30000000000001"/>
    <n v="140.6"/>
    <n v="146.5"/>
    <n v="158.5"/>
    <n v="157"/>
    <n v="313.3"/>
    <n v="150.4"/>
    <n v="156.4"/>
  </r>
  <r>
    <x v="0"/>
    <x v="7"/>
    <x v="11"/>
    <n v="145.4"/>
    <n v="188.6"/>
    <n v="171.6"/>
    <n v="153.80000000000001"/>
    <n v="145.4"/>
    <n v="146.5"/>
    <n v="222.2"/>
    <n v="155.9"/>
    <n v="114.9"/>
    <n v="162"/>
    <n v="150"/>
    <n v="162.69999999999999"/>
    <n v="163.4"/>
    <n v="2082.4"/>
    <n v="183.4"/>
    <n v="156.30000000000001"/>
    <n v="151"/>
    <n v="155.5"/>
    <n v="462.8"/>
    <n v="158"/>
    <n v="147.5"/>
    <n v="152.80000000000001"/>
    <n v="310.8"/>
    <n v="160.4"/>
    <n v="146.1"/>
    <n v="153.6"/>
    <n v="161.6"/>
    <n v="156.19999999999999"/>
    <n v="316.60000000000002"/>
    <n v="154.5"/>
    <n v="159.80000000000001"/>
  </r>
  <r>
    <x v="1"/>
    <x v="7"/>
    <x v="11"/>
    <n v="149.69999999999999"/>
    <n v="195.5"/>
    <n v="176.9"/>
    <n v="153.9"/>
    <n v="138"/>
    <n v="150.5"/>
    <n v="245.3"/>
    <n v="158.69999999999999"/>
    <n v="117.2"/>
    <n v="161.4"/>
    <n v="141.5"/>
    <n v="165.1"/>
    <n v="167"/>
    <n v="2120.6999999999998"/>
    <n v="188.8"/>
    <n v="151.1"/>
    <n v="136.4"/>
    <n v="148.80000000000001"/>
    <n v="436.3"/>
    <n v="158"/>
    <n v="137.30000000000001"/>
    <n v="145.1"/>
    <n v="303.10000000000002"/>
    <n v="152"/>
    <n v="135.19999999999999"/>
    <n v="144.4"/>
    <n v="156.4"/>
    <n v="157.9"/>
    <n v="309.89999999999998"/>
    <n v="146.6"/>
    <n v="156.69999999999999"/>
  </r>
  <r>
    <x v="2"/>
    <x v="7"/>
    <x v="11"/>
    <n v="146.80000000000001"/>
    <n v="191"/>
    <n v="173.6"/>
    <n v="153.80000000000001"/>
    <n v="142.69999999999999"/>
    <n v="148.4"/>
    <n v="230"/>
    <n v="156.80000000000001"/>
    <n v="115.7"/>
    <n v="161.80000000000001"/>
    <n v="146.5"/>
    <n v="163.80000000000001"/>
    <n v="164.7"/>
    <n v="2095.6"/>
    <n v="184.8"/>
    <n v="154.30000000000001"/>
    <n v="144.9"/>
    <n v="152.80000000000001"/>
    <n v="452.00000000000006"/>
    <n v="158"/>
    <n v="143.6"/>
    <n v="149.19999999999999"/>
    <n v="307.2"/>
    <n v="157.19999999999999"/>
    <n v="140.4"/>
    <n v="148.4"/>
    <n v="158.6"/>
    <n v="156.9"/>
    <n v="314.10000000000002"/>
    <n v="150.69999999999999"/>
    <n v="158.4"/>
  </r>
  <r>
    <x v="0"/>
    <x v="7"/>
    <x v="12"/>
    <n v="144.6"/>
    <n v="188.5"/>
    <n v="173.4"/>
    <n v="154"/>
    <n v="150"/>
    <n v="145.9"/>
    <n v="225.2"/>
    <n v="159.5"/>
    <n v="114.4"/>
    <n v="163.5"/>
    <n v="153.4"/>
    <n v="163.6"/>
    <n v="164.5"/>
    <n v="2100.5"/>
    <n v="183.6"/>
    <n v="157"/>
    <n v="151.6"/>
    <n v="156.30000000000001"/>
    <n v="464.90000000000003"/>
    <n v="158.4"/>
    <n v="148.69999999999999"/>
    <n v="153.4"/>
    <n v="311.8"/>
    <n v="161.6"/>
    <n v="146.4"/>
    <n v="153.9"/>
    <n v="162.9"/>
    <n v="156.6"/>
    <n v="318.2"/>
    <n v="155.19999999999999"/>
    <n v="160.69999999999999"/>
  </r>
  <r>
    <x v="1"/>
    <x v="7"/>
    <x v="12"/>
    <n v="149"/>
    <n v="195.7"/>
    <n v="178.3"/>
    <n v="154.19999999999999"/>
    <n v="140.69999999999999"/>
    <n v="149.69999999999999"/>
    <n v="240.9"/>
    <n v="161.5"/>
    <n v="117.1"/>
    <n v="161.9"/>
    <n v="143.30000000000001"/>
    <n v="166.1"/>
    <n v="167"/>
    <n v="2125.4"/>
    <n v="190.2"/>
    <n v="151.9"/>
    <n v="136.69999999999999"/>
    <n v="149.6"/>
    <n v="438.20000000000005"/>
    <n v="158.4"/>
    <n v="137.9"/>
    <n v="145.5"/>
    <n v="303.89999999999998"/>
    <n v="152.9"/>
    <n v="135.5"/>
    <n v="144.30000000000001"/>
    <n v="156.9"/>
    <n v="157.9"/>
    <n v="310.8"/>
    <n v="146.9"/>
    <n v="156.9"/>
  </r>
  <r>
    <x v="2"/>
    <x v="7"/>
    <x v="12"/>
    <n v="146"/>
    <n v="191"/>
    <n v="175.3"/>
    <n v="154.1"/>
    <n v="146.6"/>
    <n v="147.69999999999999"/>
    <n v="230.5"/>
    <n v="160.19999999999999"/>
    <n v="115.3"/>
    <n v="163"/>
    <n v="149.19999999999999"/>
    <n v="164.8"/>
    <n v="165.4"/>
    <n v="2109.1"/>
    <n v="185.4"/>
    <n v="155"/>
    <n v="145.4"/>
    <n v="153.6"/>
    <n v="454"/>
    <n v="158.4"/>
    <n v="144.6"/>
    <n v="149.69999999999999"/>
    <n v="308.10000000000002"/>
    <n v="158.30000000000001"/>
    <n v="140.69999999999999"/>
    <n v="148.5"/>
    <n v="159.4"/>
    <n v="157.1"/>
    <n v="315.39999999999998"/>
    <n v="151.19999999999999"/>
    <n v="158.9"/>
  </r>
  <r>
    <x v="0"/>
    <x v="8"/>
    <x v="0"/>
    <n v="143.4"/>
    <n v="187.5"/>
    <n v="173.4"/>
    <n v="154"/>
    <n v="154.80000000000001"/>
    <n v="147"/>
    <n v="187.8"/>
    <n v="159.5"/>
    <n v="113.8"/>
    <n v="164.5"/>
    <n v="156.1"/>
    <n v="164.3"/>
    <n v="159.6"/>
    <n v="2065.6999999999998"/>
    <n v="184.6"/>
    <n v="157.5"/>
    <n v="152.4"/>
    <n v="156.80000000000001"/>
    <n v="466.7"/>
    <n v="157.69999999999999"/>
    <n v="150.9"/>
    <n v="153.9"/>
    <n v="311.60000000000002"/>
    <n v="162.5"/>
    <n v="147.5"/>
    <n v="155.1"/>
    <n v="163.5"/>
    <n v="156.19999999999999"/>
    <n v="318.7"/>
    <n v="155.9"/>
    <n v="158.5"/>
  </r>
  <r>
    <x v="1"/>
    <x v="8"/>
    <x v="0"/>
    <n v="148"/>
    <n v="194.8"/>
    <n v="178.4"/>
    <n v="154.4"/>
    <n v="144.1"/>
    <n v="152.6"/>
    <n v="206.8"/>
    <n v="162.1"/>
    <n v="116.3"/>
    <n v="163"/>
    <n v="145.9"/>
    <n v="167.2"/>
    <n v="163.4"/>
    <n v="2097"/>
    <n v="191.8"/>
    <n v="152.5"/>
    <n v="137.30000000000001"/>
    <n v="150.19999999999999"/>
    <n v="440"/>
    <n v="157.69999999999999"/>
    <n v="142.9"/>
    <n v="145.69999999999999"/>
    <n v="303.39999999999998"/>
    <n v="154.1"/>
    <n v="136.9"/>
    <n v="145.4"/>
    <n v="156.1"/>
    <n v="157.69999999999999"/>
    <n v="311.79999999999995"/>
    <n v="147.6"/>
    <n v="156"/>
  </r>
  <r>
    <x v="2"/>
    <x v="8"/>
    <x v="0"/>
    <n v="144.9"/>
    <n v="190.1"/>
    <n v="175.3"/>
    <n v="154.1"/>
    <n v="150.9"/>
    <n v="149.6"/>
    <n v="194.2"/>
    <n v="160.4"/>
    <n v="114.6"/>
    <n v="164"/>
    <n v="151.80000000000001"/>
    <n v="165.6"/>
    <n v="161"/>
    <n v="2076.5"/>
    <n v="186.5"/>
    <n v="155.5"/>
    <n v="146.1"/>
    <n v="154.19999999999999"/>
    <n v="455.8"/>
    <n v="157.69999999999999"/>
    <n v="147.9"/>
    <n v="150"/>
    <n v="307.7"/>
    <n v="159.30000000000001"/>
    <n v="141.9"/>
    <n v="149.6"/>
    <n v="159.19999999999999"/>
    <n v="156.80000000000001"/>
    <n v="316.10000000000002"/>
    <n v="151.9"/>
    <n v="157.30000000000001"/>
  </r>
  <r>
    <x v="0"/>
    <x v="8"/>
    <x v="1"/>
    <n v="142.80000000000001"/>
    <n v="184"/>
    <n v="168"/>
    <n v="154.4"/>
    <n v="163"/>
    <n v="147.80000000000001"/>
    <n v="149.69999999999999"/>
    <n v="158.30000000000001"/>
    <n v="111.8"/>
    <n v="165"/>
    <n v="160"/>
    <n v="165.8"/>
    <n v="154.69999999999999"/>
    <n v="2025.3"/>
    <n v="186.5"/>
    <n v="159.1"/>
    <n v="153.9"/>
    <n v="158.4"/>
    <n v="471.4"/>
    <n v="159.80000000000001"/>
    <n v="154.4"/>
    <n v="154.80000000000001"/>
    <n v="314.60000000000002"/>
    <n v="164.3"/>
    <n v="150.19999999999999"/>
    <n v="157"/>
    <n v="163.6"/>
    <n v="155.19999999999999"/>
    <n v="319.5"/>
    <n v="157.19999999999999"/>
    <n v="156.69999999999999"/>
  </r>
  <r>
    <x v="1"/>
    <x v="8"/>
    <x v="1"/>
    <n v="147.6"/>
    <n v="191.2"/>
    <n v="169.9"/>
    <n v="155.1"/>
    <n v="151.4"/>
    <n v="154"/>
    <n v="180.2"/>
    <n v="159.80000000000001"/>
    <n v="114.9"/>
    <n v="162.5"/>
    <n v="149.19999999999999"/>
    <n v="169.4"/>
    <n v="160.80000000000001"/>
    <n v="2066"/>
    <n v="193.3"/>
    <n v="154.19999999999999"/>
    <n v="138.19999999999999"/>
    <n v="151.80000000000001"/>
    <n v="444.2"/>
    <n v="159.80000000000001"/>
    <n v="149.1"/>
    <n v="146.5"/>
    <n v="306.3"/>
    <n v="156.30000000000001"/>
    <n v="140.5"/>
    <n v="147.30000000000001"/>
    <n v="156.6"/>
    <n v="156.69999999999999"/>
    <n v="313"/>
    <n v="149.30000000000001"/>
    <n v="156.5"/>
  </r>
  <r>
    <x v="2"/>
    <x v="8"/>
    <x v="1"/>
    <n v="144.30000000000001"/>
    <n v="186.5"/>
    <n v="168.7"/>
    <n v="154.69999999999999"/>
    <n v="158.69999999999999"/>
    <n v="150.69999999999999"/>
    <n v="160"/>
    <n v="158.80000000000001"/>
    <n v="112.8"/>
    <n v="164.2"/>
    <n v="155.5"/>
    <n v="167.5"/>
    <n v="156.9"/>
    <n v="2039.3000000000002"/>
    <n v="188.3"/>
    <n v="157.19999999999999"/>
    <n v="147.4"/>
    <n v="155.80000000000001"/>
    <n v="460.40000000000003"/>
    <n v="159.80000000000001"/>
    <n v="152.4"/>
    <n v="150.9"/>
    <n v="310.70000000000005"/>
    <n v="161.30000000000001"/>
    <n v="145.1"/>
    <n v="151.5"/>
    <n v="159.5"/>
    <n v="155.80000000000001"/>
    <n v="317.10000000000002"/>
    <n v="153.4"/>
    <n v="156.6"/>
  </r>
  <r>
    <x v="0"/>
    <x v="8"/>
    <x v="2"/>
    <n v="142.5"/>
    <n v="189.4"/>
    <n v="163.19999999999999"/>
    <n v="154.5"/>
    <n v="168.2"/>
    <n v="150.5"/>
    <n v="141"/>
    <n v="159.19999999999999"/>
    <n v="111.7"/>
    <n v="164"/>
    <n v="160.6"/>
    <n v="166.4"/>
    <n v="154.5"/>
    <n v="2025.7"/>
    <n v="186.1"/>
    <n v="159.6"/>
    <n v="154.4"/>
    <n v="158.9"/>
    <n v="472.9"/>
    <n v="159.9"/>
    <n v="156"/>
    <n v="154.80000000000001"/>
    <n v="314.70000000000005"/>
    <n v="164.6"/>
    <n v="151.30000000000001"/>
    <n v="157.80000000000001"/>
    <n v="163.80000000000001"/>
    <n v="153.1"/>
    <n v="317.7"/>
    <n v="157.30000000000001"/>
    <n v="156.69999999999999"/>
  </r>
  <r>
    <x v="1"/>
    <x v="8"/>
    <x v="2"/>
    <n v="147.5"/>
    <n v="197.5"/>
    <n v="164.7"/>
    <n v="155.6"/>
    <n v="156.4"/>
    <n v="157.30000000000001"/>
    <n v="166.1"/>
    <n v="161.1"/>
    <n v="114.3"/>
    <n v="162.6"/>
    <n v="150.69999999999999"/>
    <n v="170.3"/>
    <n v="160.4"/>
    <n v="2064.4999999999995"/>
    <n v="193.5"/>
    <n v="155.1"/>
    <n v="138.69999999999999"/>
    <n v="152.6"/>
    <n v="446.4"/>
    <n v="159.9"/>
    <n v="154.80000000000001"/>
    <n v="147.19999999999999"/>
    <n v="307.10000000000002"/>
    <n v="156.9"/>
    <n v="141.69999999999999"/>
    <n v="148.6"/>
    <n v="157.6"/>
    <n v="154.9"/>
    <n v="311.8"/>
    <n v="150"/>
    <n v="156.9"/>
  </r>
  <r>
    <x v="2"/>
    <x v="8"/>
    <x v="2"/>
    <n v="144.1"/>
    <n v="192.2"/>
    <n v="163.80000000000001"/>
    <n v="154.9"/>
    <n v="163.9"/>
    <n v="153.69999999999999"/>
    <n v="149.5"/>
    <n v="159.80000000000001"/>
    <n v="112.6"/>
    <n v="163.5"/>
    <n v="156.5"/>
    <n v="168.2"/>
    <n v="156.69999999999999"/>
    <n v="2039.3999999999999"/>
    <n v="188.1"/>
    <n v="157.80000000000001"/>
    <n v="147.9"/>
    <n v="156.4"/>
    <n v="462.1"/>
    <n v="159.9"/>
    <n v="155.5"/>
    <n v="151.19999999999999"/>
    <n v="311.10000000000002"/>
    <n v="161.69999999999999"/>
    <n v="146.19999999999999"/>
    <n v="152.6"/>
    <n v="160.19999999999999"/>
    <n v="153.80000000000001"/>
    <n v="315.5"/>
    <n v="153.80000000000001"/>
    <n v="156.80000000000001"/>
  </r>
  <r>
    <x v="0"/>
    <x v="8"/>
    <x v="3"/>
    <n v="142.69999999999999"/>
    <n v="195.5"/>
    <n v="163.4"/>
    <n v="155"/>
    <n v="175.2"/>
    <n v="160.6"/>
    <n v="135.1"/>
    <n v="161.1"/>
    <n v="112.2"/>
    <n v="164.4"/>
    <n v="161.9"/>
    <n v="166.8"/>
    <n v="155.6"/>
    <n v="2049.5"/>
    <n v="186.8"/>
    <n v="160.69999999999999"/>
    <n v="155.1"/>
    <n v="159.9"/>
    <n v="475.69999999999993"/>
    <n v="161.4"/>
    <n v="156"/>
    <n v="155.5"/>
    <n v="316.89999999999998"/>
    <n v="165.3"/>
    <n v="151.69999999999999"/>
    <n v="158.6"/>
    <n v="164.1"/>
    <n v="154.6"/>
    <n v="319.89999999999998"/>
    <n v="158"/>
    <n v="157.6"/>
  </r>
  <r>
    <x v="1"/>
    <x v="8"/>
    <x v="3"/>
    <n v="147.6"/>
    <n v="202.5"/>
    <n v="166.4"/>
    <n v="156"/>
    <n v="161.4"/>
    <n v="168.8"/>
    <n v="161.6"/>
    <n v="162.80000000000001"/>
    <n v="114.8"/>
    <n v="162.80000000000001"/>
    <n v="151.5"/>
    <n v="171.4"/>
    <n v="162"/>
    <n v="2089.6"/>
    <n v="194.4"/>
    <n v="155.9"/>
    <n v="139.30000000000001"/>
    <n v="153.4"/>
    <n v="448.6"/>
    <n v="161.4"/>
    <n v="154.9"/>
    <n v="147.6"/>
    <n v="309"/>
    <n v="157.5"/>
    <n v="142.1"/>
    <n v="149.1"/>
    <n v="157.6"/>
    <n v="156.6"/>
    <n v="314.10000000000002"/>
    <n v="150.5"/>
    <n v="158"/>
  </r>
  <r>
    <x v="2"/>
    <x v="8"/>
    <x v="3"/>
    <n v="144.30000000000001"/>
    <n v="198"/>
    <n v="164.6"/>
    <n v="155.4"/>
    <n v="170.1"/>
    <n v="164.4"/>
    <n v="144.1"/>
    <n v="161.69999999999999"/>
    <n v="113.1"/>
    <n v="163.9"/>
    <n v="157.6"/>
    <n v="168.9"/>
    <n v="158"/>
    <n v="2064.1"/>
    <n v="188.8"/>
    <n v="158.80000000000001"/>
    <n v="148.5"/>
    <n v="157.30000000000001"/>
    <n v="464.6"/>
    <n v="161.4"/>
    <n v="155.6"/>
    <n v="151.80000000000001"/>
    <n v="313.20000000000005"/>
    <n v="162.30000000000001"/>
    <n v="146.6"/>
    <n v="153.19999999999999"/>
    <n v="160.30000000000001"/>
    <n v="155.4"/>
    <n v="317.70000000000005"/>
    <n v="154.4"/>
    <n v="157.80000000000001"/>
  </r>
  <r>
    <x v="0"/>
    <x v="8"/>
    <x v="4"/>
    <n v="145.1"/>
    <n v="198.5"/>
    <n v="168.6"/>
    <n v="155.80000000000001"/>
    <n v="184.4"/>
    <n v="162.30000000000001"/>
    <n v="138.4"/>
    <n v="165.1"/>
    <n v="114.3"/>
    <n v="169.7"/>
    <n v="164.6"/>
    <n v="169.8"/>
    <n v="158.69999999999999"/>
    <n v="2095.2999999999997"/>
    <n v="189.6"/>
    <n v="165.3"/>
    <n v="160.6"/>
    <n v="164.5"/>
    <n v="490.4"/>
    <n v="161.6"/>
    <n v="161.69999999999999"/>
    <n v="158.80000000000001"/>
    <n v="320.39999999999998"/>
    <n v="169.1"/>
    <n v="153.19999999999999"/>
    <n v="160"/>
    <n v="167.6"/>
    <n v="159.30000000000001"/>
    <n v="328.4"/>
    <n v="161.1"/>
    <n v="161.1"/>
  </r>
  <r>
    <x v="1"/>
    <x v="8"/>
    <x v="4"/>
    <n v="148.80000000000001"/>
    <n v="204.3"/>
    <n v="173"/>
    <n v="156.5"/>
    <n v="168.8"/>
    <n v="172.5"/>
    <n v="166.5"/>
    <n v="165.9"/>
    <n v="115.9"/>
    <n v="165.2"/>
    <n v="152"/>
    <n v="171.1"/>
    <n v="164.2"/>
    <n v="2124.7000000000003"/>
    <n v="198.2"/>
    <n v="156.5"/>
    <n v="140.19999999999999"/>
    <n v="154.1"/>
    <n v="450.79999999999995"/>
    <n v="161.6"/>
    <n v="155.5"/>
    <n v="150.1"/>
    <n v="311.7"/>
    <n v="160.4"/>
    <n v="145"/>
    <n v="152.6"/>
    <n v="156.6"/>
    <n v="157.5"/>
    <n v="317.89999999999998"/>
    <n v="152.30000000000001"/>
    <n v="159.5"/>
  </r>
  <r>
    <x v="2"/>
    <x v="8"/>
    <x v="4"/>
    <n v="146.30000000000001"/>
    <n v="200.5"/>
    <n v="170.3"/>
    <n v="156.1"/>
    <n v="178.7"/>
    <n v="167.1"/>
    <n v="147.9"/>
    <n v="165.4"/>
    <n v="114.8"/>
    <n v="168.2"/>
    <n v="159.30000000000001"/>
    <n v="170.4"/>
    <n v="160.69999999999999"/>
    <n v="2105.7000000000003"/>
    <n v="191.9"/>
    <n v="161.80000000000001"/>
    <n v="152.1"/>
    <n v="160.4"/>
    <n v="474.29999999999995"/>
    <n v="161.6"/>
    <n v="159.4"/>
    <n v="154.69999999999999"/>
    <n v="316.29999999999995"/>
    <n v="165.8"/>
    <n v="148.9"/>
    <n v="155.80000000000001"/>
    <n v="161.19999999999999"/>
    <n v="158.6"/>
    <n v="324.39999999999998"/>
    <n v="156.80000000000001"/>
    <n v="160.4"/>
  </r>
  <r>
    <x v="0"/>
    <x v="8"/>
    <x v="5"/>
    <n v="145.6"/>
    <n v="200.1"/>
    <n v="179.3"/>
    <n v="156.1"/>
    <n v="190.4"/>
    <n v="158.6"/>
    <n v="144.69999999999999"/>
    <n v="165.5"/>
    <n v="114.6"/>
    <n v="170"/>
    <n v="165.5"/>
    <n v="171.7"/>
    <n v="160.5"/>
    <n v="2122.6"/>
    <n v="189.1"/>
    <n v="165.3"/>
    <n v="159.9"/>
    <n v="164.6"/>
    <n v="489.80000000000007"/>
    <n v="160.5"/>
    <n v="162.1"/>
    <n v="159.19999999999999"/>
    <n v="319.7"/>
    <n v="169.7"/>
    <n v="154.19999999999999"/>
    <n v="160.4"/>
    <n v="166.8"/>
    <n v="159.4"/>
    <n v="329.1"/>
    <n v="161.5"/>
    <n v="162.1"/>
  </r>
  <r>
    <x v="1"/>
    <x v="8"/>
    <x v="5"/>
    <n v="149.19999999999999"/>
    <n v="205.5"/>
    <n v="182.8"/>
    <n v="156.5"/>
    <n v="172.2"/>
    <n v="171.5"/>
    <n v="176.2"/>
    <n v="166.9"/>
    <n v="116.1"/>
    <n v="165.5"/>
    <n v="152.30000000000001"/>
    <n v="173.3"/>
    <n v="166.2"/>
    <n v="2154.1999999999998"/>
    <n v="195.6"/>
    <n v="157.30000000000001"/>
    <n v="140.5"/>
    <n v="154.80000000000001"/>
    <n v="452.6"/>
    <n v="160.5"/>
    <n v="156.1"/>
    <n v="149.80000000000001"/>
    <n v="310.3"/>
    <n v="160.80000000000001"/>
    <n v="147.5"/>
    <n v="150.69999999999999"/>
    <n v="158.1"/>
    <n v="158"/>
    <n v="318.8"/>
    <n v="153.4"/>
    <n v="160.4"/>
  </r>
  <r>
    <x v="2"/>
    <x v="8"/>
    <x v="5"/>
    <n v="146.69999999999999"/>
    <n v="202"/>
    <n v="180.7"/>
    <n v="156.19999999999999"/>
    <n v="183.7"/>
    <n v="164.6"/>
    <n v="155.4"/>
    <n v="166"/>
    <n v="115.1"/>
    <n v="168.5"/>
    <n v="160"/>
    <n v="172.4"/>
    <n v="162.6"/>
    <n v="2133.9"/>
    <n v="190.8"/>
    <n v="162.19999999999999"/>
    <n v="151.80000000000001"/>
    <n v="160.69999999999999"/>
    <n v="474.7"/>
    <n v="160.5"/>
    <n v="159.80000000000001"/>
    <n v="154.80000000000001"/>
    <n v="315.3"/>
    <n v="166.3"/>
    <n v="150.69999999999999"/>
    <n v="154.9"/>
    <n v="161.69999999999999"/>
    <n v="158.80000000000001"/>
    <n v="325.10000000000002"/>
    <n v="157.6"/>
    <n v="161.30000000000001"/>
  </r>
  <r>
    <x v="0"/>
    <x v="8"/>
    <x v="6"/>
    <n v="145.1"/>
    <n v="204.5"/>
    <n v="180.4"/>
    <n v="157.1"/>
    <n v="188.7"/>
    <n v="157.69999999999999"/>
    <n v="152.80000000000001"/>
    <n v="163.6"/>
    <n v="113.9"/>
    <n v="169.7"/>
    <n v="166.2"/>
    <n v="171"/>
    <n v="161.69999999999999"/>
    <n v="2132.4"/>
    <n v="189.7"/>
    <n v="166"/>
    <n v="161.1"/>
    <n v="165.3"/>
    <n v="492.40000000000003"/>
    <n v="161.5"/>
    <n v="162.5"/>
    <n v="160.30000000000001"/>
    <n v="321.8"/>
    <n v="170.4"/>
    <n v="157.1"/>
    <n v="160.69999999999999"/>
    <n v="167.2"/>
    <n v="160.4"/>
    <n v="330.8"/>
    <n v="162.80000000000001"/>
    <n v="163.19999999999999"/>
  </r>
  <r>
    <x v="1"/>
    <x v="8"/>
    <x v="6"/>
    <n v="149.1"/>
    <n v="210.9"/>
    <n v="185"/>
    <n v="158.19999999999999"/>
    <n v="170.6"/>
    <n v="170.9"/>
    <n v="186.4"/>
    <n v="164.7"/>
    <n v="115.7"/>
    <n v="165.5"/>
    <n v="153.4"/>
    <n v="173.5"/>
    <n v="167.9"/>
    <n v="2171.8000000000002"/>
    <n v="195.5"/>
    <n v="157.9"/>
    <n v="141.9"/>
    <n v="155.5"/>
    <n v="455.3"/>
    <n v="161.5"/>
    <n v="157.69999999999999"/>
    <n v="150.69999999999999"/>
    <n v="312.2"/>
    <n v="161.5"/>
    <n v="149.5"/>
    <n v="151.19999999999999"/>
    <n v="160.30000000000001"/>
    <n v="159.6"/>
    <n v="321.10000000000002"/>
    <n v="155"/>
    <n v="161.80000000000001"/>
  </r>
  <r>
    <x v="2"/>
    <x v="8"/>
    <x v="6"/>
    <n v="146.4"/>
    <n v="206.8"/>
    <n v="182.2"/>
    <n v="157.5"/>
    <n v="182.1"/>
    <n v="163.9"/>
    <n v="164.2"/>
    <n v="164"/>
    <n v="114.5"/>
    <n v="168.3"/>
    <n v="160.9"/>
    <n v="172.2"/>
    <n v="164"/>
    <n v="2147"/>
    <n v="191.2"/>
    <n v="162.80000000000001"/>
    <n v="153.1"/>
    <n v="161.4"/>
    <n v="477.29999999999995"/>
    <n v="161.5"/>
    <n v="160.69999999999999"/>
    <n v="155.80000000000001"/>
    <n v="317.3"/>
    <n v="167"/>
    <n v="153.1"/>
    <n v="155.30000000000001"/>
    <n v="163.19999999999999"/>
    <n v="160.1"/>
    <n v="327.10000000000002"/>
    <n v="159"/>
    <n v="162.5"/>
  </r>
  <r>
    <x v="0"/>
    <x v="8"/>
    <x v="7"/>
    <n v="144.9"/>
    <n v="202.3"/>
    <n v="176.5"/>
    <n v="157.5"/>
    <n v="190.9"/>
    <n v="155.69999999999999"/>
    <n v="153.9"/>
    <n v="162.80000000000001"/>
    <n v="115.2"/>
    <n v="169.8"/>
    <n v="167.6"/>
    <n v="171.9"/>
    <n v="161.80000000000001"/>
    <n v="2130.8000000000002"/>
    <n v="190.2"/>
    <n v="167"/>
    <n v="162.6"/>
    <n v="166.3"/>
    <n v="495.90000000000003"/>
    <n v="162.1"/>
    <n v="163.1"/>
    <n v="160.9"/>
    <n v="323"/>
    <n v="171.1"/>
    <n v="157.69999999999999"/>
    <n v="161.1"/>
    <n v="167.5"/>
    <n v="160.30000000000001"/>
    <n v="331.4"/>
    <n v="163.30000000000001"/>
    <n v="163.6"/>
  </r>
  <r>
    <x v="1"/>
    <x v="8"/>
    <x v="7"/>
    <n v="149.30000000000001"/>
    <n v="207.4"/>
    <n v="174.1"/>
    <n v="159.19999999999999"/>
    <n v="175"/>
    <n v="161.30000000000001"/>
    <n v="183.3"/>
    <n v="164.5"/>
    <n v="120.4"/>
    <n v="166.2"/>
    <n v="154.80000000000001"/>
    <n v="175.1"/>
    <n v="167.3"/>
    <n v="2157.9"/>
    <n v="196.5"/>
    <n v="159.80000000000001"/>
    <n v="143.6"/>
    <n v="157.30000000000001"/>
    <n v="460.7"/>
    <n v="162.1"/>
    <n v="160.69999999999999"/>
    <n v="153.19999999999999"/>
    <n v="315.29999999999995"/>
    <n v="162.80000000000001"/>
    <n v="150.4"/>
    <n v="153.69999999999999"/>
    <n v="160.4"/>
    <n v="159.6"/>
    <n v="322.39999999999998"/>
    <n v="156"/>
    <n v="162.30000000000001"/>
  </r>
  <r>
    <x v="2"/>
    <x v="8"/>
    <x v="7"/>
    <n v="146.6"/>
    <n v="204"/>
    <n v="172.8"/>
    <n v="158.4"/>
    <n v="188"/>
    <n v="156.80000000000001"/>
    <n v="162.19999999999999"/>
    <n v="164.1"/>
    <n v="119.7"/>
    <n v="168.8"/>
    <n v="162.69999999999999"/>
    <n v="173.9"/>
    <n v="164"/>
    <n v="2142"/>
    <n v="192.1"/>
    <n v="164.5"/>
    <n v="155.30000000000001"/>
    <n v="163.19999999999999"/>
    <n v="483"/>
    <n v="162.1"/>
    <n v="162.6"/>
    <n v="157.5"/>
    <n v="319.60000000000002"/>
    <n v="168.4"/>
    <n v="154"/>
    <n v="157.6"/>
    <n v="163.80000000000001"/>
    <n v="160"/>
    <n v="328.4"/>
    <n v="160"/>
    <n v="163.19999999999999"/>
  </r>
  <r>
    <x v="0"/>
    <x v="8"/>
    <x v="8"/>
    <n v="145.4"/>
    <n v="202.1"/>
    <n v="172"/>
    <n v="158"/>
    <n v="195.5"/>
    <n v="152.69999999999999"/>
    <n v="151.4"/>
    <n v="163.9"/>
    <n v="119.3"/>
    <n v="170.1"/>
    <n v="168.3"/>
    <n v="172.8"/>
    <n v="162.1"/>
    <n v="2133.6"/>
    <n v="190.5"/>
    <n v="167.7"/>
    <n v="163.6"/>
    <n v="167.1"/>
    <n v="498.4"/>
    <n v="162.1"/>
    <n v="163.69999999999999"/>
    <n v="161.30000000000001"/>
    <n v="323.39999999999998"/>
    <n v="171.9"/>
    <n v="157.80000000000001"/>
    <n v="162.69999999999999"/>
    <n v="168.5"/>
    <n v="160.19999999999999"/>
    <n v="332.1"/>
    <n v="163.80000000000001"/>
    <n v="164"/>
  </r>
  <r>
    <x v="1"/>
    <x v="8"/>
    <x v="8"/>
    <n v="149.30000000000001"/>
    <n v="207.4"/>
    <n v="174.1"/>
    <n v="159.1"/>
    <n v="175"/>
    <n v="161.19999999999999"/>
    <n v="183.5"/>
    <n v="164.5"/>
    <n v="120.4"/>
    <n v="166.2"/>
    <n v="154.80000000000001"/>
    <n v="175.1"/>
    <n v="167.3"/>
    <n v="2157.9"/>
    <n v="196.5"/>
    <n v="159.80000000000001"/>
    <n v="143.6"/>
    <n v="157.4"/>
    <n v="460.79999999999995"/>
    <n v="162.1"/>
    <n v="160.80000000000001"/>
    <n v="153.30000000000001"/>
    <n v="315.39999999999998"/>
    <n v="162.80000000000001"/>
    <n v="150.5"/>
    <n v="153.9"/>
    <n v="160.30000000000001"/>
    <n v="159.6"/>
    <n v="322.39999999999998"/>
    <n v="156"/>
    <n v="162.30000000000001"/>
  </r>
  <r>
    <x v="2"/>
    <x v="8"/>
    <x v="8"/>
    <n v="146.6"/>
    <n v="204"/>
    <n v="172.8"/>
    <n v="158.4"/>
    <n v="188"/>
    <n v="156.69999999999999"/>
    <n v="162.30000000000001"/>
    <n v="164.1"/>
    <n v="119.7"/>
    <n v="168.8"/>
    <n v="162.69999999999999"/>
    <n v="173.9"/>
    <n v="164"/>
    <n v="2142"/>
    <n v="192.1"/>
    <n v="164.6"/>
    <n v="155.30000000000001"/>
    <n v="163.30000000000001"/>
    <n v="483.2"/>
    <n v="162.1"/>
    <n v="162.6"/>
    <n v="157.5"/>
    <n v="319.60000000000002"/>
    <n v="168.4"/>
    <n v="154"/>
    <n v="157.69999999999999"/>
    <n v="163.69999999999999"/>
    <n v="160"/>
    <n v="328.4"/>
    <n v="160"/>
    <n v="163.19999999999999"/>
  </r>
  <r>
    <x v="0"/>
    <x v="8"/>
    <x v="9"/>
    <n v="146.1"/>
    <n v="202.5"/>
    <n v="170.1"/>
    <n v="158.4"/>
    <n v="198.8"/>
    <n v="152.6"/>
    <n v="170.4"/>
    <n v="165.2"/>
    <n v="121.6"/>
    <n v="170.6"/>
    <n v="168.8"/>
    <n v="173.6"/>
    <n v="165.5"/>
    <n v="2164.1999999999998"/>
    <n v="191.2"/>
    <n v="168.9"/>
    <n v="164.8"/>
    <n v="168.3"/>
    <n v="502.00000000000006"/>
    <n v="163.6"/>
    <n v="165.5"/>
    <n v="162"/>
    <n v="325.60000000000002"/>
    <n v="172.5"/>
    <n v="159.5"/>
    <n v="163.19999999999999"/>
    <n v="169"/>
    <n v="161.1"/>
    <n v="333.6"/>
    <n v="164.7"/>
    <n v="166.3"/>
  </r>
  <r>
    <x v="1"/>
    <x v="8"/>
    <x v="9"/>
    <n v="150.1"/>
    <n v="208.4"/>
    <n v="173"/>
    <n v="159.19999999999999"/>
    <n v="176.6"/>
    <n v="159.30000000000001"/>
    <n v="214.4"/>
    <n v="165.3"/>
    <n v="122.5"/>
    <n v="166.8"/>
    <n v="155.4"/>
    <n v="175.9"/>
    <n v="171.5"/>
    <n v="2198.4000000000005"/>
    <n v="197"/>
    <n v="160.80000000000001"/>
    <n v="144.4"/>
    <n v="158.30000000000001"/>
    <n v="463.50000000000006"/>
    <n v="163.6"/>
    <n v="162.19999999999999"/>
    <n v="154.30000000000001"/>
    <n v="317.89999999999998"/>
    <n v="163.5"/>
    <n v="152.19999999999999"/>
    <n v="155.1"/>
    <n v="160.30000000000001"/>
    <n v="160.30000000000001"/>
    <n v="323.8"/>
    <n v="157"/>
    <n v="164.6"/>
  </r>
  <r>
    <x v="2"/>
    <x v="8"/>
    <x v="9"/>
    <n v="147.4"/>
    <n v="204.6"/>
    <n v="171.2"/>
    <n v="158.69999999999999"/>
    <n v="190.6"/>
    <n v="155.69999999999999"/>
    <n v="185.3"/>
    <n v="165.2"/>
    <n v="121.9"/>
    <n v="169.3"/>
    <n v="163.19999999999999"/>
    <n v="174.7"/>
    <n v="167.7"/>
    <n v="2175.5"/>
    <n v="192.7"/>
    <n v="165.7"/>
    <n v="156.30000000000001"/>
    <n v="164.3"/>
    <n v="486.3"/>
    <n v="163.6"/>
    <n v="164.2"/>
    <n v="158.4"/>
    <n v="322"/>
    <n v="169.1"/>
    <n v="155.69999999999999"/>
    <n v="158.6"/>
    <n v="163.9"/>
    <n v="160.80000000000001"/>
    <n v="329.9"/>
    <n v="161"/>
    <n v="165.5"/>
  </r>
  <r>
    <x v="0"/>
    <x v="8"/>
    <x v="11"/>
    <n v="146.9"/>
    <n v="199.8"/>
    <n v="171.5"/>
    <n v="159.1"/>
    <n v="198.4"/>
    <n v="153.19999999999999"/>
    <n v="183.9"/>
    <n v="165.4"/>
    <n v="122.1"/>
    <n v="170.8"/>
    <n v="169.1"/>
    <n v="174.3"/>
    <n v="167.5"/>
    <n v="2182"/>
    <n v="191.4"/>
    <n v="170.4"/>
    <n v="166"/>
    <n v="169.8"/>
    <n v="506.2"/>
    <n v="164.2"/>
    <n v="165.3"/>
    <n v="162.9"/>
    <n v="327.10000000000002"/>
    <n v="173.4"/>
    <n v="158.9"/>
    <n v="163.80000000000001"/>
    <n v="169.3"/>
    <n v="162.4"/>
    <n v="335.8"/>
    <n v="165.2"/>
    <n v="167.6"/>
  </r>
  <r>
    <x v="1"/>
    <x v="8"/>
    <x v="11"/>
    <n v="151"/>
    <n v="204.9"/>
    <n v="175.4"/>
    <n v="159.6"/>
    <n v="175.8"/>
    <n v="160.30000000000001"/>
    <n v="229.1"/>
    <n v="165.1"/>
    <n v="123.1"/>
    <n v="167.2"/>
    <n v="156.1"/>
    <n v="176.8"/>
    <n v="173.5"/>
    <n v="2217.8999999999996"/>
    <n v="197"/>
    <n v="162.30000000000001"/>
    <n v="145.30000000000001"/>
    <n v="159.69999999999999"/>
    <n v="467.3"/>
    <n v="164.2"/>
    <n v="161.6"/>
    <n v="155.19999999999999"/>
    <n v="319.39999999999998"/>
    <n v="164.2"/>
    <n v="151.19999999999999"/>
    <n v="156.69999999999999"/>
    <n v="160.80000000000001"/>
    <n v="161.80000000000001"/>
    <n v="326"/>
    <n v="157.30000000000001"/>
    <n v="165.6"/>
  </r>
  <r>
    <x v="2"/>
    <x v="8"/>
    <x v="11"/>
    <n v="148.19999999999999"/>
    <n v="201.6"/>
    <n v="173"/>
    <n v="159.30000000000001"/>
    <n v="190.1"/>
    <n v="156.5"/>
    <n v="199.2"/>
    <n v="165.3"/>
    <n v="122.4"/>
    <n v="169.6"/>
    <n v="163.69999999999999"/>
    <n v="175.5"/>
    <n v="169.7"/>
    <n v="2194.1"/>
    <n v="192.9"/>
    <n v="167.2"/>
    <n v="157.4"/>
    <n v="165.8"/>
    <n v="490.40000000000003"/>
    <n v="164.2"/>
    <n v="163.9"/>
    <n v="159.30000000000001"/>
    <n v="323.5"/>
    <n v="169.9"/>
    <n v="154.80000000000001"/>
    <n v="159.80000000000001"/>
    <n v="164.3"/>
    <n v="162.19999999999999"/>
    <n v="332.1"/>
    <n v="161.4"/>
    <n v="166.7"/>
  </r>
  <r>
    <x v="0"/>
    <x v="8"/>
    <x v="12"/>
    <n v="147.4"/>
    <n v="197"/>
    <n v="176.5"/>
    <n v="159.80000000000001"/>
    <n v="195.8"/>
    <n v="152"/>
    <n v="172.3"/>
    <n v="164.5"/>
    <n v="120.6"/>
    <n v="171.7"/>
    <n v="169.7"/>
    <n v="175.1"/>
    <n v="165.8"/>
    <n v="2168.1999999999998"/>
    <n v="190.8"/>
    <n v="171.8"/>
    <n v="167.3"/>
    <n v="171.2"/>
    <n v="510.3"/>
    <n v="163.4"/>
    <n v="165.6"/>
    <n v="163.9"/>
    <n v="327.3"/>
    <n v="174"/>
    <n v="160.1"/>
    <n v="164.5"/>
    <n v="169.7"/>
    <n v="162.80000000000001"/>
    <n v="336.8"/>
    <n v="166"/>
    <n v="167"/>
  </r>
  <r>
    <x v="1"/>
    <x v="8"/>
    <x v="12"/>
    <n v="151.6"/>
    <n v="202.2"/>
    <n v="180"/>
    <n v="160"/>
    <n v="173.5"/>
    <n v="158.30000000000001"/>
    <n v="219.5"/>
    <n v="164.2"/>
    <n v="121.9"/>
    <n v="168.2"/>
    <n v="156.5"/>
    <n v="178.2"/>
    <n v="172.2"/>
    <n v="2206.3000000000002"/>
    <n v="196.8"/>
    <n v="163.30000000000001"/>
    <n v="146.69999999999999"/>
    <n v="160.69999999999999"/>
    <n v="470.7"/>
    <n v="163.4"/>
    <n v="161.69999999999999"/>
    <n v="156"/>
    <n v="319.39999999999998"/>
    <n v="165.1"/>
    <n v="151.80000000000001"/>
    <n v="157.6"/>
    <n v="160.6"/>
    <n v="162.4"/>
    <n v="327.5"/>
    <n v="157.80000000000001"/>
    <n v="165.2"/>
  </r>
  <r>
    <x v="2"/>
    <x v="8"/>
    <x v="12"/>
    <n v="148.69999999999999"/>
    <n v="198.8"/>
    <n v="177.9"/>
    <n v="159.9"/>
    <n v="187.6"/>
    <n v="154.9"/>
    <n v="188.3"/>
    <n v="164.4"/>
    <n v="121"/>
    <n v="170.5"/>
    <n v="164.2"/>
    <n v="176.5"/>
    <n v="168.2"/>
    <n v="2180.9"/>
    <n v="192.4"/>
    <n v="168.5"/>
    <n v="158.69999999999999"/>
    <n v="167"/>
    <n v="494.2"/>
    <n v="163.4"/>
    <n v="164.1"/>
    <n v="160.19999999999999"/>
    <n v="323.60000000000002"/>
    <n v="170.6"/>
    <n v="155.69999999999999"/>
    <n v="160.6"/>
    <n v="164.4"/>
    <n v="162.6"/>
    <n v="333.2"/>
    <n v="162"/>
    <n v="166.2"/>
  </r>
  <r>
    <x v="0"/>
    <x v="9"/>
    <x v="0"/>
    <n v="148.30000000000001"/>
    <n v="196.9"/>
    <n v="178"/>
    <n v="160.5"/>
    <n v="192.6"/>
    <n v="151.19999999999999"/>
    <n v="159.19999999999999"/>
    <n v="164"/>
    <n v="119.3"/>
    <n v="173.3"/>
    <n v="169.8"/>
    <n v="175.8"/>
    <n v="164.1"/>
    <n v="2153"/>
    <n v="190.7"/>
    <n v="173.2"/>
    <n v="169.3"/>
    <n v="172.7"/>
    <n v="515.20000000000005"/>
    <n v="164.5"/>
    <n v="165.8"/>
    <n v="164.9"/>
    <n v="329.4"/>
    <n v="174.7"/>
    <n v="160.80000000000001"/>
    <n v="164.9"/>
    <n v="169.9"/>
    <n v="163.19999999999999"/>
    <n v="337.9"/>
    <n v="166.6"/>
    <n v="166.4"/>
  </r>
  <r>
    <x v="1"/>
    <x v="9"/>
    <x v="0"/>
    <n v="152.19999999999999"/>
    <n v="202.1"/>
    <n v="180.1"/>
    <n v="160.4"/>
    <n v="171"/>
    <n v="156.5"/>
    <n v="203.6"/>
    <n v="163.80000000000001"/>
    <n v="121.3"/>
    <n v="169.8"/>
    <n v="156.6"/>
    <n v="179"/>
    <n v="170.3"/>
    <n v="2186.6999999999998"/>
    <n v="196.4"/>
    <n v="164.7"/>
    <n v="148.5"/>
    <n v="162.19999999999999"/>
    <n v="475.4"/>
    <n v="164.5"/>
    <n v="161.6"/>
    <n v="156.80000000000001"/>
    <n v="321.3"/>
    <n v="166.1"/>
    <n v="152.69999999999999"/>
    <n v="158.4"/>
    <n v="161"/>
    <n v="162.80000000000001"/>
    <n v="328.9"/>
    <n v="158.6"/>
    <n v="165"/>
  </r>
  <r>
    <x v="2"/>
    <x v="9"/>
    <x v="0"/>
    <n v="149.5"/>
    <n v="198.7"/>
    <n v="178.8"/>
    <n v="160.5"/>
    <n v="184.7"/>
    <n v="153.69999999999999"/>
    <n v="174.3"/>
    <n v="163.9"/>
    <n v="120"/>
    <n v="172.1"/>
    <n v="164.3"/>
    <n v="177.3"/>
    <n v="166.4"/>
    <n v="2164.1999999999998"/>
    <n v="192.2"/>
    <n v="169.9"/>
    <n v="160.69999999999999"/>
    <n v="168.5"/>
    <n v="499.1"/>
    <n v="164.5"/>
    <n v="164.2"/>
    <n v="161.1"/>
    <n v="325.60000000000002"/>
    <n v="171.4"/>
    <n v="156.5"/>
    <n v="161.19999999999999"/>
    <n v="164.7"/>
    <n v="163"/>
    <n v="334.4"/>
    <n v="162.69999999999999"/>
    <n v="165.7"/>
  </r>
  <r>
    <x v="0"/>
    <x v="9"/>
    <x v="1"/>
    <n v="148.80000000000001"/>
    <n v="198.1"/>
    <n v="175.5"/>
    <n v="160.69999999999999"/>
    <n v="192.6"/>
    <n v="151.4"/>
    <n v="155.19999999999999"/>
    <n v="163.9"/>
    <n v="118.1"/>
    <n v="175.4"/>
    <n v="170.5"/>
    <n v="176.3"/>
    <n v="163.9"/>
    <n v="2150.4"/>
    <n v="191.5"/>
    <n v="174.1"/>
    <n v="171"/>
    <n v="173.7"/>
    <n v="518.79999999999995"/>
    <n v="165.5"/>
    <n v="167.4"/>
    <n v="165.7"/>
    <n v="331.2"/>
    <n v="175.3"/>
    <n v="161.19999999999999"/>
    <n v="165.5"/>
    <n v="170.3"/>
    <n v="164.5"/>
    <n v="339.8"/>
    <n v="167.3"/>
    <n v="166.7"/>
  </r>
  <r>
    <x v="1"/>
    <x v="9"/>
    <x v="1"/>
    <n v="152.5"/>
    <n v="205.2"/>
    <n v="176.4"/>
    <n v="160.6"/>
    <n v="171.5"/>
    <n v="156.4"/>
    <n v="198"/>
    <n v="163.19999999999999"/>
    <n v="120.6"/>
    <n v="172.2"/>
    <n v="156.69999999999999"/>
    <n v="180"/>
    <n v="170.2"/>
    <n v="2183.5"/>
    <n v="196.5"/>
    <n v="165.7"/>
    <n v="150.4"/>
    <n v="163.4"/>
    <n v="479.5"/>
    <n v="165.5"/>
    <n v="163"/>
    <n v="157.4"/>
    <n v="322.89999999999998"/>
    <n v="167.2"/>
    <n v="153.1"/>
    <n v="159.5"/>
    <n v="162"/>
    <n v="164.2"/>
    <n v="331.4"/>
    <n v="159.4"/>
    <n v="165.5"/>
  </r>
  <r>
    <x v="2"/>
    <x v="9"/>
    <x v="1"/>
    <n v="150"/>
    <n v="200.6"/>
    <n v="175.8"/>
    <n v="160.69999999999999"/>
    <n v="184.9"/>
    <n v="153.69999999999999"/>
    <n v="169.7"/>
    <n v="163.69999999999999"/>
    <n v="118.9"/>
    <n v="174.3"/>
    <n v="164.7"/>
    <n v="178"/>
    <n v="166.2"/>
    <n v="2161.2000000000003"/>
    <n v="192.8"/>
    <n v="170.8"/>
    <n v="162.4"/>
    <n v="169.6"/>
    <n v="502.80000000000007"/>
    <n v="165.5"/>
    <n v="165.7"/>
    <n v="161.80000000000001"/>
    <n v="327.3"/>
    <n v="172.2"/>
    <n v="156.9"/>
    <n v="162.1"/>
    <n v="165.4"/>
    <n v="164.4"/>
    <n v="336.6"/>
    <n v="163.5"/>
    <n v="166.1"/>
  </r>
  <r>
    <x v="0"/>
    <x v="9"/>
    <x v="2"/>
    <n v="150.19999999999999"/>
    <n v="208"/>
    <n v="167.9"/>
    <n v="162"/>
    <n v="203.1"/>
    <n v="155.9"/>
    <n v="155.80000000000001"/>
    <n v="164.2"/>
    <n v="118.1"/>
    <n v="178.7"/>
    <n v="171.2"/>
    <n v="177.4"/>
    <n v="166.6"/>
    <n v="2179.1000000000004"/>
    <n v="192.3"/>
    <n v="175.4"/>
    <n v="173.2"/>
    <n v="175.1"/>
    <n v="523.70000000000005"/>
    <n v="165.3"/>
    <n v="168.9"/>
    <n v="166.5"/>
    <n v="331.8"/>
    <n v="176"/>
    <n v="162"/>
    <n v="166.6"/>
    <n v="170.6"/>
    <n v="167.4"/>
    <n v="343.4"/>
    <n v="168.3"/>
    <n v="168.7"/>
  </r>
  <r>
    <x v="1"/>
    <x v="9"/>
    <x v="2"/>
    <n v="153.69999999999999"/>
    <n v="215.8"/>
    <n v="167.7"/>
    <n v="162.6"/>
    <n v="180"/>
    <n v="159.6"/>
    <n v="188.4"/>
    <n v="163.4"/>
    <n v="120.3"/>
    <n v="174.7"/>
    <n v="157.1"/>
    <n v="181.5"/>
    <n v="171.5"/>
    <n v="2196.3000000000002"/>
    <n v="197.5"/>
    <n v="167.1"/>
    <n v="152.6"/>
    <n v="164.9"/>
    <n v="484.6"/>
    <n v="165.3"/>
    <n v="164.5"/>
    <n v="158.6"/>
    <n v="323.89999999999998"/>
    <n v="168.2"/>
    <n v="154.19999999999999"/>
    <n v="160.80000000000001"/>
    <n v="162.69999999999999"/>
    <n v="166.8"/>
    <n v="335"/>
    <n v="160.6"/>
    <n v="166.5"/>
  </r>
  <r>
    <x v="2"/>
    <x v="9"/>
    <x v="2"/>
    <n v="151.30000000000001"/>
    <n v="210.7"/>
    <n v="167.8"/>
    <n v="162.19999999999999"/>
    <n v="194.6"/>
    <n v="157.6"/>
    <n v="166.9"/>
    <n v="163.9"/>
    <n v="118.8"/>
    <n v="177.4"/>
    <n v="165.3"/>
    <n v="179.3"/>
    <n v="168.4"/>
    <n v="2184.2000000000003"/>
    <n v="193.7"/>
    <n v="172.1"/>
    <n v="164.6"/>
    <n v="171.1"/>
    <n v="507.79999999999995"/>
    <n v="165.3"/>
    <n v="167.2"/>
    <n v="162.80000000000001"/>
    <n v="328.1"/>
    <n v="173"/>
    <n v="157.9"/>
    <n v="163.30000000000001"/>
    <n v="166"/>
    <n v="167.2"/>
    <n v="340.2"/>
    <n v="164.6"/>
    <n v="167.7"/>
  </r>
  <r>
    <x v="0"/>
    <x v="9"/>
    <x v="3"/>
    <n v="151.80000000000001"/>
    <n v="209.7"/>
    <n v="164.5"/>
    <n v="163.80000000000001"/>
    <n v="207.4"/>
    <n v="169.7"/>
    <n v="153.6"/>
    <n v="165.1"/>
    <n v="118.2"/>
    <n v="182.9"/>
    <n v="172.4"/>
    <n v="178.9"/>
    <n v="168.6"/>
    <n v="2206.6"/>
    <n v="192.8"/>
    <n v="177.5"/>
    <n v="175.1"/>
    <n v="177.1"/>
    <n v="529.70000000000005"/>
    <n v="167"/>
    <n v="173.3"/>
    <n v="167.7"/>
    <n v="334.7"/>
    <n v="177"/>
    <n v="166.2"/>
    <n v="167.2"/>
    <n v="170.9"/>
    <n v="169"/>
    <n v="346"/>
    <n v="170.2"/>
    <n v="170.8"/>
  </r>
  <r>
    <x v="1"/>
    <x v="9"/>
    <x v="3"/>
    <n v="155.4"/>
    <n v="215.8"/>
    <n v="164.6"/>
    <n v="164.2"/>
    <n v="186"/>
    <n v="175.9"/>
    <n v="190.7"/>
    <n v="164"/>
    <n v="120.5"/>
    <n v="178"/>
    <n v="157.5"/>
    <n v="183.3"/>
    <n v="174.5"/>
    <n v="2230.4"/>
    <n v="197.1"/>
    <n v="168.4"/>
    <n v="154.5"/>
    <n v="166.3"/>
    <n v="489.2"/>
    <n v="167"/>
    <n v="170.5"/>
    <n v="159.80000000000001"/>
    <n v="326.8"/>
    <n v="169"/>
    <n v="159.30000000000001"/>
    <n v="162.19999999999999"/>
    <n v="164"/>
    <n v="168.4"/>
    <n v="337.4"/>
    <n v="163.1"/>
    <n v="169.2"/>
  </r>
  <r>
    <x v="2"/>
    <x v="9"/>
    <x v="3"/>
    <n v="152.9"/>
    <n v="211.8"/>
    <n v="164.5"/>
    <n v="163.9"/>
    <n v="199.5"/>
    <n v="172.6"/>
    <n v="166.2"/>
    <n v="164.7"/>
    <n v="119"/>
    <n v="181.3"/>
    <n v="166.2"/>
    <n v="180.9"/>
    <n v="170.8"/>
    <n v="2214.3000000000002"/>
    <n v="193.9"/>
    <n v="173.9"/>
    <n v="166.5"/>
    <n v="172.8"/>
    <n v="513.20000000000005"/>
    <n v="167"/>
    <n v="172.2"/>
    <n v="164"/>
    <n v="331"/>
    <n v="174"/>
    <n v="162.6"/>
    <n v="164.4"/>
    <n v="166.9"/>
    <n v="168.8"/>
    <n v="342.8"/>
    <n v="166.8"/>
    <n v="170.1"/>
  </r>
  <r>
    <x v="0"/>
    <x v="9"/>
    <x v="4"/>
    <n v="152.9"/>
    <n v="214.7"/>
    <n v="161.4"/>
    <n v="164.6"/>
    <n v="209.9"/>
    <n v="168"/>
    <n v="160.4"/>
    <n v="165"/>
    <n v="118.9"/>
    <n v="186.6"/>
    <n v="173.2"/>
    <n v="180.4"/>
    <n v="170.8"/>
    <n v="2226.8000000000002"/>
    <n v="192.9"/>
    <n v="179.3"/>
    <n v="177.2"/>
    <n v="179"/>
    <n v="535.5"/>
    <n v="167.5"/>
    <n v="175.3"/>
    <n v="168.9"/>
    <n v="336.4"/>
    <n v="177.7"/>
    <n v="167.1"/>
    <n v="167.6"/>
    <n v="171.8"/>
    <n v="168.5"/>
    <n v="346.2"/>
    <n v="170.9"/>
    <n v="172.5"/>
  </r>
  <r>
    <x v="1"/>
    <x v="9"/>
    <x v="4"/>
    <n v="156.69999999999999"/>
    <n v="221.2"/>
    <n v="164.1"/>
    <n v="165.4"/>
    <n v="189.5"/>
    <n v="174.5"/>
    <n v="203.2"/>
    <n v="164.1"/>
    <n v="121.2"/>
    <n v="181.4"/>
    <n v="158.5"/>
    <n v="184.9"/>
    <n v="177.5"/>
    <n v="2262.2000000000003"/>
    <n v="197.5"/>
    <n v="170"/>
    <n v="155.9"/>
    <n v="167.8"/>
    <n v="493.7"/>
    <n v="167.5"/>
    <n v="173.5"/>
    <n v="161.1"/>
    <n v="328.6"/>
    <n v="170.1"/>
    <n v="159.4"/>
    <n v="163.19999999999999"/>
    <n v="165.2"/>
    <n v="168.2"/>
    <n v="338.29999999999995"/>
    <n v="163.80000000000001"/>
    <n v="170.8"/>
  </r>
  <r>
    <x v="2"/>
    <x v="9"/>
    <x v="4"/>
    <n v="154.1"/>
    <n v="217"/>
    <n v="162.4"/>
    <n v="164.9"/>
    <n v="202.4"/>
    <n v="171"/>
    <n v="174.9"/>
    <n v="164.7"/>
    <n v="119.7"/>
    <n v="184.9"/>
    <n v="167.1"/>
    <n v="182.5"/>
    <n v="173.3"/>
    <n v="2238.9000000000005"/>
    <n v="194.1"/>
    <n v="175.6"/>
    <n v="168.4"/>
    <n v="174.6"/>
    <n v="518.6"/>
    <n v="167.5"/>
    <n v="174.6"/>
    <n v="165.2"/>
    <n v="332.7"/>
    <n v="174.8"/>
    <n v="163"/>
    <n v="165.1"/>
    <n v="167.9"/>
    <n v="168.4"/>
    <n v="343.20000000000005"/>
    <n v="167.5"/>
    <n v="171.7"/>
  </r>
  <r>
    <x v="0"/>
    <x v="9"/>
    <x v="5"/>
    <n v="153.80000000000001"/>
    <n v="217.2"/>
    <n v="169.6"/>
    <n v="165.4"/>
    <n v="208.1"/>
    <n v="165.8"/>
    <n v="167.3"/>
    <n v="164.6"/>
    <n v="119.1"/>
    <n v="188.9"/>
    <n v="174.2"/>
    <n v="181.9"/>
    <n v="172.4"/>
    <n v="2248.3000000000002"/>
    <n v="192.9"/>
    <n v="180.7"/>
    <n v="178.7"/>
    <n v="180.4"/>
    <n v="539.79999999999995"/>
    <n v="166.8"/>
    <n v="176.7"/>
    <n v="170.3"/>
    <n v="337.1"/>
    <n v="178.2"/>
    <n v="165.5"/>
    <n v="168"/>
    <n v="172.6"/>
    <n v="169.5"/>
    <n v="347.7"/>
    <n v="171"/>
    <n v="173.6"/>
  </r>
  <r>
    <x v="1"/>
    <x v="9"/>
    <x v="5"/>
    <n v="157.5"/>
    <n v="223.4"/>
    <n v="172.8"/>
    <n v="166.4"/>
    <n v="188.6"/>
    <n v="174.1"/>
    <n v="211.5"/>
    <n v="163.6"/>
    <n v="121.4"/>
    <n v="183.5"/>
    <n v="159.1"/>
    <n v="186.3"/>
    <n v="179.3"/>
    <n v="2287.5"/>
    <n v="198.3"/>
    <n v="171.6"/>
    <n v="157.4"/>
    <n v="169.4"/>
    <n v="498.4"/>
    <n v="166.8"/>
    <n v="174.9"/>
    <n v="162.1"/>
    <n v="328.9"/>
    <n v="170.9"/>
    <n v="157.19999999999999"/>
    <n v="164.1"/>
    <n v="166.5"/>
    <n v="169.2"/>
    <n v="340.1"/>
    <n v="163.80000000000001"/>
    <n v="171.4"/>
  </r>
  <r>
    <x v="2"/>
    <x v="9"/>
    <x v="5"/>
    <n v="155"/>
    <n v="219.4"/>
    <n v="170.8"/>
    <n v="165.8"/>
    <n v="200.9"/>
    <n v="169.7"/>
    <n v="182.3"/>
    <n v="164.3"/>
    <n v="119.9"/>
    <n v="187.1"/>
    <n v="167.9"/>
    <n v="183.9"/>
    <n v="174.9"/>
    <n v="2261.9"/>
    <n v="194.3"/>
    <n v="177.1"/>
    <n v="169.9"/>
    <n v="176"/>
    <n v="523"/>
    <n v="166.8"/>
    <n v="176"/>
    <n v="166.4"/>
    <n v="333.20000000000005"/>
    <n v="175.4"/>
    <n v="161.1"/>
    <n v="165.8"/>
    <n v="169"/>
    <n v="169.4"/>
    <n v="344.8"/>
    <n v="167.5"/>
    <n v="172.6"/>
  </r>
  <r>
    <x v="0"/>
    <x v="9"/>
    <x v="6"/>
    <n v="155.19999999999999"/>
    <n v="210.8"/>
    <n v="174.3"/>
    <n v="166.3"/>
    <n v="202.2"/>
    <n v="169.6"/>
    <n v="168.6"/>
    <n v="164.4"/>
    <n v="119.2"/>
    <n v="191.8"/>
    <n v="174.5"/>
    <n v="183.1"/>
    <n v="172.5"/>
    <n v="2252.5"/>
    <n v="193.2"/>
    <n v="182"/>
    <n v="180.3"/>
    <n v="181.7"/>
    <n v="544"/>
    <n v="167.8"/>
    <n v="179.6"/>
    <n v="171.3"/>
    <n v="339.1"/>
    <n v="178.8"/>
    <n v="166.3"/>
    <n v="168.6"/>
    <n v="174.7"/>
    <n v="169.7"/>
    <n v="348.5"/>
    <n v="171.8"/>
    <n v="174.3"/>
  </r>
  <r>
    <x v="1"/>
    <x v="9"/>
    <x v="6"/>
    <n v="159.30000000000001"/>
    <n v="217.1"/>
    <n v="176.6"/>
    <n v="167.1"/>
    <n v="184.8"/>
    <n v="179.5"/>
    <n v="208.5"/>
    <n v="164"/>
    <n v="121.5"/>
    <n v="186.3"/>
    <n v="159.80000000000001"/>
    <n v="187.7"/>
    <n v="179.4"/>
    <n v="2291.6"/>
    <n v="198.6"/>
    <n v="172.7"/>
    <n v="158.69999999999999"/>
    <n v="170.6"/>
    <n v="502"/>
    <n v="167.8"/>
    <n v="179.5"/>
    <n v="163.1"/>
    <n v="330.9"/>
    <n v="171.7"/>
    <n v="157.4"/>
    <n v="164.6"/>
    <n v="169.1"/>
    <n v="169.8"/>
    <n v="341.5"/>
    <n v="164.7"/>
    <n v="172.3"/>
  </r>
  <r>
    <x v="2"/>
    <x v="9"/>
    <x v="6"/>
    <n v="156.5"/>
    <n v="213"/>
    <n v="175.2"/>
    <n v="166.6"/>
    <n v="195.8"/>
    <n v="174.2"/>
    <n v="182.1"/>
    <n v="164.3"/>
    <n v="120"/>
    <n v="190"/>
    <n v="168.4"/>
    <n v="185.2"/>
    <n v="175"/>
    <n v="2266.3000000000002"/>
    <n v="194.6"/>
    <n v="178.3"/>
    <n v="171.3"/>
    <n v="177.3"/>
    <n v="526.90000000000009"/>
    <n v="167.8"/>
    <n v="179.6"/>
    <n v="167.4"/>
    <n v="335.20000000000005"/>
    <n v="176.1"/>
    <n v="161.6"/>
    <n v="166.3"/>
    <n v="171.4"/>
    <n v="169.7"/>
    <n v="345.79999999999995"/>
    <n v="168.4"/>
    <n v="173.4"/>
  </r>
  <r>
    <x v="0"/>
    <x v="9"/>
    <x v="7"/>
    <n v="159.5"/>
    <n v="204.1"/>
    <n v="168.3"/>
    <n v="167.9"/>
    <n v="198.1"/>
    <n v="169.2"/>
    <n v="173.1"/>
    <n v="167.1"/>
    <n v="120.2"/>
    <n v="195.6"/>
    <n v="174.8"/>
    <n v="184"/>
    <n v="173.9"/>
    <n v="2255.7999999999997"/>
    <n v="193.7"/>
    <n v="183.2"/>
    <n v="181.7"/>
    <n v="183"/>
    <n v="547.9"/>
    <n v="169"/>
    <n v="179.1"/>
    <n v="172.3"/>
    <n v="341.3"/>
    <n v="179.4"/>
    <n v="166.6"/>
    <n v="169.3"/>
    <n v="175.7"/>
    <n v="171.1"/>
    <n v="350.5"/>
    <n v="172.6"/>
    <n v="175.3"/>
  </r>
  <r>
    <x v="1"/>
    <x v="9"/>
    <x v="7"/>
    <n v="162.1"/>
    <n v="210.9"/>
    <n v="170.6"/>
    <n v="168.4"/>
    <n v="182.5"/>
    <n v="177.1"/>
    <n v="213.1"/>
    <n v="167.3"/>
    <n v="122.2"/>
    <n v="189.7"/>
    <n v="160.5"/>
    <n v="188.9"/>
    <n v="180.4"/>
    <n v="2293.6999999999998"/>
    <n v="198.7"/>
    <n v="173.7"/>
    <n v="160"/>
    <n v="171.6"/>
    <n v="505.29999999999995"/>
    <n v="169"/>
    <n v="178.4"/>
    <n v="164.2"/>
    <n v="333.2"/>
    <n v="172.6"/>
    <n v="157.69999999999999"/>
    <n v="165.1"/>
    <n v="169.9"/>
    <n v="171.4"/>
    <n v="344"/>
    <n v="165.4"/>
    <n v="173.1"/>
  </r>
  <r>
    <x v="2"/>
    <x v="9"/>
    <x v="7"/>
    <n v="160.30000000000001"/>
    <n v="206.5"/>
    <n v="169.2"/>
    <n v="168.1"/>
    <n v="192.4"/>
    <n v="172.9"/>
    <n v="186.7"/>
    <n v="167.2"/>
    <n v="120.9"/>
    <n v="193.6"/>
    <n v="168.8"/>
    <n v="186.3"/>
    <n v="176.3"/>
    <n v="2269.2000000000003"/>
    <n v="195"/>
    <n v="179.5"/>
    <n v="172.7"/>
    <n v="178.5"/>
    <n v="530.70000000000005"/>
    <n v="169"/>
    <n v="178.8"/>
    <n v="168.5"/>
    <n v="337.5"/>
    <n v="176.8"/>
    <n v="161.9"/>
    <n v="166.9"/>
    <n v="172.3"/>
    <n v="171.2"/>
    <n v="348"/>
    <n v="169.1"/>
    <n v="174.3"/>
  </r>
  <r>
    <x v="0"/>
    <x v="9"/>
    <x v="8"/>
    <n v="162.9"/>
    <n v="206.7"/>
    <n v="169"/>
    <n v="169.5"/>
    <n v="194.1"/>
    <n v="164.1"/>
    <n v="176.9"/>
    <n v="169"/>
    <n v="120.8"/>
    <n v="199.1"/>
    <n v="175.4"/>
    <n v="184.8"/>
    <n v="175.5"/>
    <n v="2267.8000000000002"/>
    <n v="194.5"/>
    <n v="184.7"/>
    <n v="183.3"/>
    <n v="184.5"/>
    <n v="552.5"/>
    <n v="169.5"/>
    <n v="179.7"/>
    <n v="173.6"/>
    <n v="343.1"/>
    <n v="180.2"/>
    <n v="166.9"/>
    <n v="170"/>
    <n v="176.2"/>
    <n v="170.8"/>
    <n v="351"/>
    <n v="173.1"/>
    <n v="176.4"/>
  </r>
  <r>
    <x v="1"/>
    <x v="9"/>
    <x v="8"/>
    <n v="164.9"/>
    <n v="213.7"/>
    <n v="170.9"/>
    <n v="170.1"/>
    <n v="179.3"/>
    <n v="167.5"/>
    <n v="220.8"/>
    <n v="169.2"/>
    <n v="123.1"/>
    <n v="193.6"/>
    <n v="161.1"/>
    <n v="190.4"/>
    <n v="181.8"/>
    <n v="2306.4"/>
    <n v="199.7"/>
    <n v="175"/>
    <n v="161.69999999999999"/>
    <n v="173"/>
    <n v="509.7"/>
    <n v="169.5"/>
    <n v="179.2"/>
    <n v="165"/>
    <n v="334.5"/>
    <n v="173.8"/>
    <n v="158.19999999999999"/>
    <n v="165.8"/>
    <n v="170.9"/>
    <n v="171.1"/>
    <n v="344.9"/>
    <n v="166.1"/>
    <n v="174.1"/>
  </r>
  <r>
    <x v="2"/>
    <x v="9"/>
    <x v="8"/>
    <n v="163.5"/>
    <n v="209.2"/>
    <n v="169.7"/>
    <n v="169.7"/>
    <n v="188.7"/>
    <n v="165.7"/>
    <n v="191.8"/>
    <n v="169.1"/>
    <n v="121.6"/>
    <n v="197.3"/>
    <n v="169.4"/>
    <n v="187.4"/>
    <n v="177.8"/>
    <n v="2280.9"/>
    <n v="195.9"/>
    <n v="180.9"/>
    <n v="174.3"/>
    <n v="179.9"/>
    <n v="535.1"/>
    <n v="169.5"/>
    <n v="179.5"/>
    <n v="169.5"/>
    <n v="339"/>
    <n v="177.8"/>
    <n v="162.30000000000001"/>
    <n v="167.6"/>
    <n v="173.1"/>
    <n v="170.9"/>
    <n v="348.70000000000005"/>
    <n v="169.7"/>
    <n v="175.3"/>
  </r>
  <r>
    <x v="0"/>
    <x v="9"/>
    <x v="9"/>
    <n v="164.7"/>
    <n v="208.8"/>
    <n v="170.3"/>
    <n v="170.9"/>
    <n v="191.6"/>
    <n v="162.19999999999999"/>
    <n v="184.8"/>
    <n v="169.7"/>
    <n v="121.1"/>
    <n v="201.6"/>
    <n v="175.8"/>
    <n v="185.6"/>
    <n v="177.4"/>
    <n v="2284.5"/>
    <n v="194.9"/>
    <n v="186.1"/>
    <n v="184.4"/>
    <n v="185.9"/>
    <n v="556.4"/>
    <n v="171.2"/>
    <n v="180.8"/>
    <n v="174.4"/>
    <n v="345.6"/>
    <n v="181.2"/>
    <n v="167.4"/>
    <n v="170.6"/>
    <n v="176.5"/>
    <n v="172"/>
    <n v="353.2"/>
    <n v="173.9"/>
    <n v="177.9"/>
  </r>
  <r>
    <x v="1"/>
    <x v="9"/>
    <x v="9"/>
    <n v="166.4"/>
    <n v="214.9"/>
    <n v="171.9"/>
    <n v="171"/>
    <n v="177.7"/>
    <n v="165.7"/>
    <n v="228.6"/>
    <n v="169.9"/>
    <n v="123.4"/>
    <n v="196.4"/>
    <n v="161.6"/>
    <n v="191.5"/>
    <n v="183.3"/>
    <n v="2322.3000000000002"/>
    <n v="200.1"/>
    <n v="175.5"/>
    <n v="162.6"/>
    <n v="173.6"/>
    <n v="511.70000000000005"/>
    <n v="171.2"/>
    <n v="180"/>
    <n v="166"/>
    <n v="337.2"/>
    <n v="174.7"/>
    <n v="158.80000000000001"/>
    <n v="166.3"/>
    <n v="171.2"/>
    <n v="172.3"/>
    <n v="347"/>
    <n v="166.8"/>
    <n v="175.3"/>
  </r>
  <r>
    <x v="2"/>
    <x v="9"/>
    <x v="9"/>
    <n v="165.2"/>
    <n v="210.9"/>
    <n v="170.9"/>
    <n v="170.9"/>
    <n v="186.5"/>
    <n v="163.80000000000001"/>
    <n v="199.7"/>
    <n v="169.8"/>
    <n v="121.9"/>
    <n v="199.9"/>
    <n v="169.9"/>
    <n v="188.3"/>
    <n v="179.6"/>
    <n v="2297.3000000000002"/>
    <n v="196.3"/>
    <n v="181.9"/>
    <n v="175.3"/>
    <n v="181"/>
    <n v="538.20000000000005"/>
    <n v="171.2"/>
    <n v="180.5"/>
    <n v="170.4"/>
    <n v="341.6"/>
    <n v="178.7"/>
    <n v="162.9"/>
    <n v="168.2"/>
    <n v="173.4"/>
    <n v="172.1"/>
    <n v="350.79999999999995"/>
    <n v="170.5"/>
    <n v="176.7"/>
  </r>
  <r>
    <x v="0"/>
    <x v="9"/>
    <x v="11"/>
    <n v="166.9"/>
    <n v="207.2"/>
    <n v="180.2"/>
    <n v="172.3"/>
    <n v="194"/>
    <n v="159.1"/>
    <n v="171.6"/>
    <n v="170.2"/>
    <n v="121.5"/>
    <n v="204.8"/>
    <n v="176.4"/>
    <n v="186.9"/>
    <n v="176.6"/>
    <n v="2287.6999999999998"/>
    <n v="195.5"/>
    <n v="187.2"/>
    <n v="185.2"/>
    <n v="186.9"/>
    <n v="559.29999999999995"/>
    <n v="171.8"/>
    <n v="181.9"/>
    <n v="175.5"/>
    <n v="347.3"/>
    <n v="182.3"/>
    <n v="167.5"/>
    <n v="170.8"/>
    <n v="176.9"/>
    <n v="173.4"/>
    <n v="355.70000000000005"/>
    <n v="174.6"/>
    <n v="177.8"/>
  </r>
  <r>
    <x v="1"/>
    <x v="9"/>
    <x v="11"/>
    <n v="168.4"/>
    <n v="213.4"/>
    <n v="183.2"/>
    <n v="172.3"/>
    <n v="180"/>
    <n v="162.6"/>
    <n v="205.5"/>
    <n v="171"/>
    <n v="123.4"/>
    <n v="198.8"/>
    <n v="162.1"/>
    <n v="192.4"/>
    <n v="181.3"/>
    <n v="2314.4"/>
    <n v="200.6"/>
    <n v="176.7"/>
    <n v="163.5"/>
    <n v="174.7"/>
    <n v="514.9"/>
    <n v="171.8"/>
    <n v="180.3"/>
    <n v="166.9"/>
    <n v="338.70000000000005"/>
    <n v="175.8"/>
    <n v="158.9"/>
    <n v="166.7"/>
    <n v="171.5"/>
    <n v="173.8"/>
    <n v="349.6"/>
    <n v="167.4"/>
    <n v="174.1"/>
  </r>
  <r>
    <x v="2"/>
    <x v="9"/>
    <x v="11"/>
    <n v="167.4"/>
    <n v="209.4"/>
    <n v="181.4"/>
    <n v="172.3"/>
    <n v="188.9"/>
    <n v="160.69999999999999"/>
    <n v="183.1"/>
    <n v="170.5"/>
    <n v="122.1"/>
    <n v="202.8"/>
    <n v="170.4"/>
    <n v="189.5"/>
    <n v="178.3"/>
    <n v="2296.8000000000002"/>
    <n v="196.9"/>
    <n v="183.1"/>
    <n v="176.2"/>
    <n v="182.1"/>
    <n v="541.4"/>
    <n v="171.8"/>
    <n v="181.3"/>
    <n v="171.4"/>
    <n v="343.20000000000005"/>
    <n v="179.8"/>
    <n v="163"/>
    <n v="168.5"/>
    <n v="173.7"/>
    <n v="173.6"/>
    <n v="353.4"/>
    <n v="171.1"/>
    <n v="176.5"/>
  </r>
  <r>
    <x v="0"/>
    <x v="9"/>
    <x v="12"/>
    <n v="168.8"/>
    <n v="206.9"/>
    <n v="189.1"/>
    <n v="173.4"/>
    <n v="193.9"/>
    <n v="156.69999999999999"/>
    <n v="150.19999999999999"/>
    <n v="170.5"/>
    <n v="121.2"/>
    <n v="207.5"/>
    <n v="176.8"/>
    <n v="187.7"/>
    <n v="174.4"/>
    <n v="2277.1"/>
    <n v="195.9"/>
    <n v="188.1"/>
    <n v="185.9"/>
    <n v="187.8"/>
    <n v="561.79999999999995"/>
    <n v="170.7"/>
    <n v="182.8"/>
    <n v="176.4"/>
    <n v="347.1"/>
    <n v="183.5"/>
    <n v="167.8"/>
    <n v="171.2"/>
    <n v="177.3"/>
    <n v="175.7"/>
    <n v="359.2"/>
    <n v="175.5"/>
    <n v="177.1"/>
  </r>
  <r>
    <x v="1"/>
    <x v="9"/>
    <x v="12"/>
    <n v="170.2"/>
    <n v="212.9"/>
    <n v="191.9"/>
    <n v="173.9"/>
    <n v="179.1"/>
    <n v="159.5"/>
    <n v="178.7"/>
    <n v="171.3"/>
    <n v="123.1"/>
    <n v="200.5"/>
    <n v="162.80000000000001"/>
    <n v="193.3"/>
    <n v="178.6"/>
    <n v="2295.7999999999997"/>
    <n v="201.1"/>
    <n v="177.7"/>
    <n v="164.5"/>
    <n v="175.7"/>
    <n v="517.9"/>
    <n v="170.7"/>
    <n v="180.6"/>
    <n v="167.3"/>
    <n v="338"/>
    <n v="177.2"/>
    <n v="159.4"/>
    <n v="167.1"/>
    <n v="171.8"/>
    <n v="176"/>
    <n v="353.2"/>
    <n v="168.2"/>
    <n v="174.1"/>
  </r>
  <r>
    <x v="2"/>
    <x v="9"/>
    <x v="12"/>
    <n v="169.2"/>
    <n v="209"/>
    <n v="190.2"/>
    <n v="173.6"/>
    <n v="188.5"/>
    <n v="158"/>
    <n v="159.9"/>
    <n v="170.8"/>
    <n v="121.8"/>
    <n v="205.2"/>
    <n v="171"/>
    <n v="190.3"/>
    <n v="175.9"/>
    <n v="2283.4"/>
    <n v="197.3"/>
    <n v="184"/>
    <n v="177"/>
    <n v="183"/>
    <n v="544"/>
    <n v="170.7"/>
    <n v="182"/>
    <n v="172.1"/>
    <n v="342.79999999999995"/>
    <n v="181.1"/>
    <n v="163.4"/>
    <n v="168.9"/>
    <n v="174.1"/>
    <n v="175.8"/>
    <n v="356.9"/>
    <n v="172"/>
    <n v="175.7"/>
  </r>
  <r>
    <x v="0"/>
    <x v="10"/>
    <x v="0"/>
    <n v="174"/>
    <n v="208.3"/>
    <n v="192.9"/>
    <n v="174.3"/>
    <n v="192.6"/>
    <n v="156.30000000000001"/>
    <n v="142.9"/>
    <n v="170.7"/>
    <n v="120.3"/>
    <n v="210.5"/>
    <n v="176.9"/>
    <n v="188.5"/>
    <n v="175"/>
    <n v="2283.2000000000003"/>
    <n v="196.9"/>
    <n v="189"/>
    <n v="186.3"/>
    <n v="188.6"/>
    <n v="563.9"/>
    <n v="172.1"/>
    <n v="183.2"/>
    <n v="177.2"/>
    <n v="349.29999999999995"/>
    <n v="184.7"/>
    <n v="168.2"/>
    <n v="171.8"/>
    <n v="177.8"/>
    <n v="178.4"/>
    <n v="363.1"/>
    <n v="176.5"/>
    <n v="177.8"/>
  </r>
  <r>
    <x v="1"/>
    <x v="10"/>
    <x v="0"/>
    <n v="173.3"/>
    <n v="215.2"/>
    <n v="197"/>
    <n v="175.2"/>
    <n v="178"/>
    <n v="160.5"/>
    <n v="175.3"/>
    <n v="171.2"/>
    <n v="122.7"/>
    <n v="204.3"/>
    <n v="163.69999999999999"/>
    <n v="194.3"/>
    <n v="179.5"/>
    <n v="2310.2000000000003"/>
    <n v="201.6"/>
    <n v="178.7"/>
    <n v="165.3"/>
    <n v="176.6"/>
    <n v="520.6"/>
    <n v="172.1"/>
    <n v="180.1"/>
    <n v="168"/>
    <n v="340.1"/>
    <n v="178.5"/>
    <n v="159.5"/>
    <n v="167.8"/>
    <n v="171.8"/>
    <n v="178.8"/>
    <n v="357.3"/>
    <n v="168.9"/>
    <n v="174.9"/>
  </r>
  <r>
    <x v="2"/>
    <x v="10"/>
    <x v="0"/>
    <n v="173.8"/>
    <n v="210.7"/>
    <n v="194.5"/>
    <n v="174.6"/>
    <n v="187.2"/>
    <n v="158.30000000000001"/>
    <n v="153.9"/>
    <n v="170.9"/>
    <n v="121.1"/>
    <n v="208.4"/>
    <n v="171.4"/>
    <n v="191.2"/>
    <n v="176.7"/>
    <n v="2292.6999999999998"/>
    <n v="198.2"/>
    <n v="184.9"/>
    <n v="177.6"/>
    <n v="183.8"/>
    <n v="546.29999999999995"/>
    <n v="172.1"/>
    <n v="182"/>
    <n v="172.9"/>
    <n v="345"/>
    <n v="182.3"/>
    <n v="163.6"/>
    <n v="169.5"/>
    <n v="174.3"/>
    <n v="178.6"/>
    <n v="360.9"/>
    <n v="172.8"/>
    <n v="176.5"/>
  </r>
  <r>
    <x v="0"/>
    <x v="10"/>
    <x v="1"/>
    <n v="174.2"/>
    <n v="205.2"/>
    <n v="173.9"/>
    <n v="177"/>
    <n v="183.4"/>
    <n v="167.2"/>
    <n v="140.9"/>
    <n v="170.4"/>
    <n v="119.1"/>
    <n v="212.1"/>
    <n v="177.6"/>
    <n v="189.9"/>
    <n v="174.8"/>
    <n v="2265.6999999999998"/>
    <n v="198.3"/>
    <n v="190"/>
    <n v="187"/>
    <n v="189.6"/>
    <n v="566.6"/>
    <n v="173.5"/>
    <n v="181.6"/>
    <n v="178.6"/>
    <n v="352.1"/>
    <n v="186.6"/>
    <n v="169"/>
    <n v="172.8"/>
    <n v="178.5"/>
    <n v="180.7"/>
    <n v="367.29999999999995"/>
    <n v="177.9"/>
    <n v="178"/>
  </r>
  <r>
    <x v="1"/>
    <x v="10"/>
    <x v="1"/>
    <n v="174.7"/>
    <n v="212.2"/>
    <n v="177.2"/>
    <n v="177.9"/>
    <n v="172.2"/>
    <n v="172.1"/>
    <n v="175.8"/>
    <n v="172.2"/>
    <n v="121.9"/>
    <n v="204.8"/>
    <n v="164.9"/>
    <n v="196.6"/>
    <n v="180.7"/>
    <n v="2303.1999999999998"/>
    <n v="202.7"/>
    <n v="180.3"/>
    <n v="167"/>
    <n v="178.2"/>
    <n v="525.5"/>
    <n v="173.5"/>
    <n v="182.8"/>
    <n v="169.2"/>
    <n v="342.7"/>
    <n v="180.8"/>
    <n v="159.80000000000001"/>
    <n v="168.4"/>
    <n v="172.5"/>
    <n v="181.4"/>
    <n v="362.20000000000005"/>
    <n v="170"/>
    <n v="176.3"/>
  </r>
  <r>
    <x v="2"/>
    <x v="10"/>
    <x v="1"/>
    <n v="174.4"/>
    <n v="207.7"/>
    <n v="175.2"/>
    <n v="177.3"/>
    <n v="179.3"/>
    <n v="169.5"/>
    <n v="152.69999999999999"/>
    <n v="171"/>
    <n v="120"/>
    <n v="209.7"/>
    <n v="172.3"/>
    <n v="193"/>
    <n v="177"/>
    <n v="2279.1"/>
    <n v="199.5"/>
    <n v="186.2"/>
    <n v="178.7"/>
    <n v="185.1"/>
    <n v="550"/>
    <n v="173.5"/>
    <n v="182.1"/>
    <n v="174.2"/>
    <n v="347.7"/>
    <n v="184.4"/>
    <n v="164.2"/>
    <n v="170.3"/>
    <n v="175"/>
    <n v="181"/>
    <n v="365.4"/>
    <n v="174.1"/>
    <n v="177.2"/>
  </r>
  <r>
    <x v="0"/>
    <x v="10"/>
    <x v="2"/>
    <n v="174.3"/>
    <n v="205.2"/>
    <n v="173.9"/>
    <n v="177"/>
    <n v="183.3"/>
    <n v="167.2"/>
    <n v="140.9"/>
    <n v="170.5"/>
    <n v="119.1"/>
    <n v="212.1"/>
    <n v="177.6"/>
    <n v="189.9"/>
    <n v="174.8"/>
    <n v="2265.8000000000002"/>
    <n v="198.4"/>
    <n v="190"/>
    <n v="187"/>
    <n v="189.6"/>
    <n v="566.6"/>
    <n v="173.5"/>
    <n v="181.4"/>
    <n v="178.6"/>
    <n v="352.1"/>
    <n v="186.6"/>
    <n v="169"/>
    <n v="172.8"/>
    <n v="178.5"/>
    <n v="180.7"/>
    <n v="367.29999999999995"/>
    <n v="177.9"/>
    <n v="178"/>
  </r>
  <r>
    <x v="1"/>
    <x v="10"/>
    <x v="2"/>
    <n v="174.7"/>
    <n v="212.2"/>
    <n v="177.2"/>
    <n v="177.9"/>
    <n v="172.2"/>
    <n v="172.1"/>
    <n v="175.9"/>
    <n v="172.2"/>
    <n v="121.9"/>
    <n v="204.8"/>
    <n v="164.9"/>
    <n v="196.6"/>
    <n v="180.8"/>
    <n v="2303.4"/>
    <n v="202.7"/>
    <n v="180.2"/>
    <n v="167"/>
    <n v="178.2"/>
    <n v="525.4"/>
    <n v="173.5"/>
    <n v="182.6"/>
    <n v="169.2"/>
    <n v="342.7"/>
    <n v="180.8"/>
    <n v="159.80000000000001"/>
    <n v="168.4"/>
    <n v="172.5"/>
    <n v="181.5"/>
    <n v="362.3"/>
    <n v="170"/>
    <n v="176.3"/>
  </r>
  <r>
    <x v="2"/>
    <x v="10"/>
    <x v="2"/>
    <n v="174.4"/>
    <n v="207.7"/>
    <n v="175.2"/>
    <n v="177.3"/>
    <n v="179.2"/>
    <n v="169.5"/>
    <n v="152.80000000000001"/>
    <n v="171.1"/>
    <n v="120"/>
    <n v="209.7"/>
    <n v="172.3"/>
    <n v="193"/>
    <n v="177"/>
    <n v="2279.1999999999998"/>
    <n v="199.5"/>
    <n v="186.1"/>
    <n v="178.7"/>
    <n v="185.1"/>
    <n v="549.9"/>
    <n v="173.5"/>
    <n v="181.9"/>
    <n v="174.2"/>
    <n v="347.7"/>
    <n v="184.4"/>
    <n v="164.2"/>
    <n v="170.3"/>
    <n v="175"/>
    <n v="181"/>
    <n v="365.4"/>
    <n v="174.1"/>
    <n v="177.2"/>
  </r>
  <r>
    <x v="0"/>
    <x v="10"/>
    <x v="3"/>
    <n v="173.3"/>
    <n v="206.9"/>
    <n v="167.9"/>
    <n v="178.2"/>
    <n v="178.5"/>
    <n v="173.7"/>
    <n v="142.80000000000001"/>
    <n v="172.8"/>
    <n v="120.4"/>
    <n v="215.5"/>
    <n v="178.2"/>
    <n v="190.5"/>
    <n v="175.5"/>
    <n v="2274.1999999999998"/>
    <n v="199.5"/>
    <n v="190.7"/>
    <n v="187.3"/>
    <n v="190.2"/>
    <n v="568.20000000000005"/>
    <n v="175.2"/>
    <n v="181.5"/>
    <n v="179.1"/>
    <n v="354.29999999999995"/>
    <n v="187.2"/>
    <n v="169.4"/>
    <n v="173.2"/>
    <n v="179.4"/>
    <n v="183.8"/>
    <n v="371"/>
    <n v="178.9"/>
    <n v="178.8"/>
  </r>
  <r>
    <x v="1"/>
    <x v="10"/>
    <x v="3"/>
    <n v="174.8"/>
    <n v="213.7"/>
    <n v="172.4"/>
    <n v="178.8"/>
    <n v="168.7"/>
    <n v="179.2"/>
    <n v="179.9"/>
    <n v="174.7"/>
    <n v="123.1"/>
    <n v="207.8"/>
    <n v="165.5"/>
    <n v="197"/>
    <n v="182.1"/>
    <n v="2317.7000000000003"/>
    <n v="203.5"/>
    <n v="181"/>
    <n v="167.7"/>
    <n v="178.9"/>
    <n v="527.6"/>
    <n v="175.2"/>
    <n v="182.1"/>
    <n v="169.6"/>
    <n v="344.79999999999995"/>
    <n v="181.5"/>
    <n v="160.1"/>
    <n v="168.8"/>
    <n v="174.2"/>
    <n v="184.4"/>
    <n v="365.9"/>
    <n v="170.9"/>
    <n v="177.4"/>
  </r>
  <r>
    <x v="2"/>
    <x v="10"/>
    <x v="3"/>
    <n v="173.8"/>
    <n v="209.3"/>
    <n v="169.6"/>
    <n v="178.4"/>
    <n v="174.9"/>
    <n v="176.3"/>
    <n v="155.4"/>
    <n v="173.4"/>
    <n v="121.3"/>
    <n v="212.9"/>
    <n v="172.9"/>
    <n v="193.5"/>
    <n v="177.9"/>
    <n v="2289.6000000000004"/>
    <n v="200.6"/>
    <n v="186.9"/>
    <n v="179.2"/>
    <n v="185.7"/>
    <n v="551.79999999999995"/>
    <n v="175.2"/>
    <n v="181.7"/>
    <n v="174.6"/>
    <n v="349.79999999999995"/>
    <n v="185"/>
    <n v="164.5"/>
    <n v="170.7"/>
    <n v="176.4"/>
    <n v="184"/>
    <n v="369"/>
    <n v="175"/>
    <n v="178.1"/>
  </r>
  <r>
    <x v="0"/>
    <x v="10"/>
    <x v="4"/>
    <n v="173.2"/>
    <n v="211.5"/>
    <n v="171"/>
    <n v="179.6"/>
    <n v="173.3"/>
    <n v="169"/>
    <n v="148.69999999999999"/>
    <n v="174.9"/>
    <n v="121.9"/>
    <n v="221"/>
    <n v="178.7"/>
    <n v="191.1"/>
    <n v="176.8"/>
    <n v="2290.7000000000007"/>
    <n v="199.9"/>
    <n v="191.2"/>
    <n v="187.9"/>
    <n v="190.8"/>
    <n v="569.90000000000009"/>
    <n v="175.6"/>
    <n v="182.5"/>
    <n v="179.8"/>
    <n v="355.4"/>
    <n v="187.8"/>
    <n v="169.7"/>
    <n v="173.8"/>
    <n v="180.3"/>
    <n v="184.9"/>
    <n v="372.70000000000005"/>
    <n v="179.5"/>
    <n v="179.8"/>
  </r>
  <r>
    <x v="1"/>
    <x v="10"/>
    <x v="4"/>
    <n v="174.7"/>
    <n v="219.4"/>
    <n v="176.7"/>
    <n v="179.4"/>
    <n v="164.4"/>
    <n v="175.8"/>
    <n v="185"/>
    <n v="176.9"/>
    <n v="124.2"/>
    <n v="211.9"/>
    <n v="165.9"/>
    <n v="197.7"/>
    <n v="183.1"/>
    <n v="2335.1"/>
    <n v="204.2"/>
    <n v="181.3"/>
    <n v="168.1"/>
    <n v="179.3"/>
    <n v="528.70000000000005"/>
    <n v="175.6"/>
    <n v="183.4"/>
    <n v="170.1"/>
    <n v="345.7"/>
    <n v="182.2"/>
    <n v="160.4"/>
    <n v="169.2"/>
    <n v="174.8"/>
    <n v="185.6"/>
    <n v="367.79999999999995"/>
    <n v="171.6"/>
    <n v="178.2"/>
  </r>
  <r>
    <x v="2"/>
    <x v="10"/>
    <x v="4"/>
    <n v="173.7"/>
    <n v="214.3"/>
    <n v="173.2"/>
    <n v="179.5"/>
    <n v="170"/>
    <n v="172.2"/>
    <n v="161"/>
    <n v="175.6"/>
    <n v="122.7"/>
    <n v="218"/>
    <n v="173.4"/>
    <n v="194.2"/>
    <n v="179.1"/>
    <n v="2306.9"/>
    <n v="201"/>
    <n v="187.3"/>
    <n v="179.7"/>
    <n v="186.2"/>
    <n v="553.20000000000005"/>
    <n v="175.6"/>
    <n v="182.8"/>
    <n v="175.2"/>
    <n v="350.79999999999995"/>
    <n v="185.7"/>
    <n v="164.8"/>
    <n v="171.2"/>
    <n v="177.1"/>
    <n v="185.2"/>
    <n v="370.9"/>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09C73-7817-4341-86E5-B7E31CB6C60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ector">
  <location ref="A8:K9" firstHeaderRow="0" firstDataRow="1" firstDataCol="1" rowPageCount="2" colPageCount="1"/>
  <pivotFields count="34">
    <pivotField axis="axisRow" showAll="0">
      <items count="4">
        <item h="1" x="0"/>
        <item x="2"/>
        <item h="1" x="1"/>
        <item t="default"/>
      </items>
    </pivotField>
    <pivotField axis="axisPage" showAll="0">
      <items count="12">
        <item x="0"/>
        <item x="1"/>
        <item x="2"/>
        <item x="3"/>
        <item x="4"/>
        <item x="5"/>
        <item x="6"/>
        <item x="7"/>
        <item x="8"/>
        <item x="9"/>
        <item x="10"/>
        <item t="default"/>
      </items>
    </pivotField>
    <pivotField axis="axisPage"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dataField="1" showAll="0"/>
    <pivotField showAll="0"/>
    <pivotField dataField="1" showAll="0"/>
    <pivotField showAll="0"/>
    <pivotField dataField="1" showAll="0"/>
    <pivotField dataField="1" showAll="0"/>
    <pivotField dataField="1" showAll="0"/>
    <pivotField showAll="0"/>
    <pivotField dataField="1" showAll="0"/>
    <pivotField dataField="1" showAll="0"/>
    <pivotField showAll="0"/>
  </pivotFields>
  <rowFields count="1">
    <field x="0"/>
  </rowFields>
  <rowItems count="1">
    <i>
      <x v="1"/>
    </i>
  </rowItems>
  <colFields count="1">
    <field x="-2"/>
  </colFields>
  <colItems count="10">
    <i>
      <x/>
    </i>
    <i i="1">
      <x v="1"/>
    </i>
    <i i="2">
      <x v="2"/>
    </i>
    <i i="3">
      <x v="3"/>
    </i>
    <i i="4">
      <x v="4"/>
    </i>
    <i i="5">
      <x v="5"/>
    </i>
    <i i="6">
      <x v="6"/>
    </i>
    <i i="7">
      <x v="7"/>
    </i>
    <i i="8">
      <x v="8"/>
    </i>
    <i i="9">
      <x v="9"/>
    </i>
  </colItems>
  <pageFields count="2">
    <pageField fld="1" item="10" hier="-1"/>
    <pageField fld="2" item="4" hier="-1"/>
  </pageFields>
  <dataFields count="10">
    <dataField name="Average of Food Bucket" fld="16" subtotal="average" baseField="0" baseItem="0"/>
    <dataField name="Average of Pan, tobacco and intoxicants" fld="17" subtotal="average" baseField="0" baseItem="0"/>
    <dataField name="Average of Clothing and Footwear bucket" fld="21" subtotal="average" baseField="0" baseItem="0"/>
    <dataField name="Average of Fuel and light" fld="23" subtotal="average" baseField="0" baseItem="0"/>
    <dataField name="Average of Housing &amp; Household goods and services bucket" fld="25" subtotal="average" baseField="0" baseItem="0"/>
    <dataField name="Average of Transport and communication" fld="27" subtotal="average" baseField="0" baseItem="0"/>
    <dataField name="Average of Recreation and amusement" fld="28" subtotal="average" baseField="0" baseItem="0"/>
    <dataField name="Average of Education" fld="29" subtotal="average" baseField="0" baseItem="0"/>
    <dataField name="Average of Health &amp; Personal care and effects bucket" fld="31" subtotal="average" baseField="0" baseItem="0"/>
    <dataField name="Average of Miscellaneous" fld="3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835144-FD51-4CAF-9B24-8A7ED2741D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A7:B16" firstHeaderRow="1" firstDataRow="1" firstDataCol="1" rowPageCount="1" colPageCount="1"/>
  <pivotFields count="34">
    <pivotField axis="axisPage"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Items count="1">
    <i/>
  </colItems>
  <pageFields count="1">
    <pageField fld="0" item="1" hier="-1"/>
  </pageFields>
  <dataFields count="1">
    <dataField name="Average of General index" fld="33" subtotal="average" baseField="1" baseItem="0"/>
  </dataFields>
  <formats count="1">
    <format dxfId="0">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C01A-F61E-429E-89F1-4B46D79E4A42}">
  <dimension ref="A1:AH373"/>
  <sheetViews>
    <sheetView tabSelected="1" topLeftCell="I1" zoomScale="90" zoomScaleNormal="90" workbookViewId="0"/>
  </sheetViews>
  <sheetFormatPr defaultRowHeight="14.5" x14ac:dyDescent="0.35"/>
  <cols>
    <col min="1" max="1" width="11.36328125" bestFit="1" customWidth="1"/>
    <col min="2" max="2" width="6.81640625" bestFit="1" customWidth="1"/>
    <col min="3" max="3" width="10" bestFit="1" customWidth="1"/>
    <col min="4" max="4" width="18.54296875" bestFit="1" customWidth="1"/>
    <col min="5" max="5" width="12.26953125" bestFit="1" customWidth="1"/>
    <col min="6" max="6" width="6.81640625" bestFit="1" customWidth="1"/>
    <col min="7" max="7" width="15.90625" bestFit="1" customWidth="1"/>
    <col min="8" max="8" width="11.08984375" bestFit="1" customWidth="1"/>
    <col min="9" max="9" width="11.81640625" bestFit="1" customWidth="1"/>
    <col min="10" max="10" width="12.08984375" bestFit="1" customWidth="1"/>
    <col min="11" max="11" width="17.6328125" bestFit="1" customWidth="1"/>
    <col min="12" max="12" width="21.453125" bestFit="1" customWidth="1"/>
    <col min="13" max="13" width="6.81640625" bestFit="1" customWidth="1"/>
    <col min="14" max="14" width="21.36328125" bestFit="1" customWidth="1"/>
    <col min="15" max="15" width="28.54296875" bestFit="1" customWidth="1"/>
    <col min="16" max="16" width="17.7265625" bestFit="1" customWidth="1"/>
    <col min="17" max="17" width="17.7265625" customWidth="1"/>
    <col min="18" max="18" width="24.7265625" bestFit="1" customWidth="1"/>
    <col min="19" max="19" width="7.26953125" customWidth="1"/>
    <col min="20" max="20" width="7.36328125" customWidth="1"/>
    <col min="21" max="21" width="19.54296875" bestFit="1" customWidth="1"/>
    <col min="22" max="22" width="26" customWidth="1"/>
    <col min="23" max="23" width="7.54296875" bestFit="1" customWidth="1"/>
    <col min="24" max="24" width="11.90625" bestFit="1" customWidth="1"/>
    <col min="25" max="25" width="26.26953125" bestFit="1" customWidth="1"/>
    <col min="26" max="26" width="26.26953125" customWidth="1"/>
    <col min="27" max="27" width="11.81640625" bestFit="1" customWidth="1"/>
    <col min="28" max="28" width="26.36328125" bestFit="1" customWidth="1"/>
    <col min="29" max="29" width="24" bestFit="1" customWidth="1"/>
    <col min="30" max="30" width="11.81640625" bestFit="1" customWidth="1"/>
    <col min="31" max="31" width="19.7265625" bestFit="1" customWidth="1"/>
    <col min="32" max="32" width="19.7265625" customWidth="1"/>
    <col min="33" max="33" width="12.6328125" bestFit="1" customWidth="1"/>
    <col min="34" max="34" width="12.36328125" bestFit="1" customWidth="1"/>
    <col min="35" max="35" width="25"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44</v>
      </c>
      <c r="P1" t="s">
        <v>14</v>
      </c>
      <c r="Q1" s="15" t="s">
        <v>99</v>
      </c>
      <c r="R1" s="15" t="s">
        <v>15</v>
      </c>
      <c r="S1" t="s">
        <v>16</v>
      </c>
      <c r="T1" t="s">
        <v>17</v>
      </c>
      <c r="U1" t="s">
        <v>18</v>
      </c>
      <c r="V1" s="15" t="s">
        <v>100</v>
      </c>
      <c r="W1" t="s">
        <v>19</v>
      </c>
      <c r="X1" s="15" t="s">
        <v>20</v>
      </c>
      <c r="Y1" t="s">
        <v>21</v>
      </c>
      <c r="Z1" s="15" t="s">
        <v>115</v>
      </c>
      <c r="AA1" s="16" t="s">
        <v>22</v>
      </c>
      <c r="AB1" s="15" t="s">
        <v>23</v>
      </c>
      <c r="AC1" s="15" t="s">
        <v>24</v>
      </c>
      <c r="AD1" s="15" t="s">
        <v>25</v>
      </c>
      <c r="AE1" t="s">
        <v>45</v>
      </c>
      <c r="AF1" s="15" t="s">
        <v>116</v>
      </c>
      <c r="AG1" s="15" t="s">
        <v>26</v>
      </c>
      <c r="AH1" s="15" t="s">
        <v>27</v>
      </c>
    </row>
    <row r="2" spans="1:34" x14ac:dyDescent="0.35">
      <c r="A2" t="s">
        <v>28</v>
      </c>
      <c r="B2">
        <v>2013</v>
      </c>
      <c r="C2" t="s">
        <v>29</v>
      </c>
      <c r="D2">
        <v>107.5</v>
      </c>
      <c r="E2">
        <v>106.3</v>
      </c>
      <c r="F2">
        <v>108.1</v>
      </c>
      <c r="G2">
        <v>104.9</v>
      </c>
      <c r="H2">
        <v>106.1</v>
      </c>
      <c r="I2">
        <v>103.9</v>
      </c>
      <c r="J2">
        <v>101.9</v>
      </c>
      <c r="K2">
        <v>106.1</v>
      </c>
      <c r="L2">
        <v>106.8</v>
      </c>
      <c r="M2">
        <v>103.1</v>
      </c>
      <c r="N2">
        <v>104.8</v>
      </c>
      <c r="O2">
        <v>106.7</v>
      </c>
      <c r="P2">
        <v>105.5</v>
      </c>
      <c r="Q2">
        <f>SUM(D2:P2)</f>
        <v>1371.6999999999998</v>
      </c>
      <c r="R2">
        <v>105.1</v>
      </c>
      <c r="S2">
        <v>106.5</v>
      </c>
      <c r="T2">
        <v>105.8</v>
      </c>
      <c r="U2">
        <v>106.4</v>
      </c>
      <c r="V2">
        <v>318.70000000000005</v>
      </c>
      <c r="W2">
        <v>100.3</v>
      </c>
      <c r="X2">
        <v>105.5</v>
      </c>
      <c r="Y2">
        <v>104.8</v>
      </c>
      <c r="Z2">
        <f>W2+Y2</f>
        <v>205.1</v>
      </c>
      <c r="AA2">
        <v>104</v>
      </c>
      <c r="AB2">
        <v>103.3</v>
      </c>
      <c r="AC2">
        <v>103.4</v>
      </c>
      <c r="AD2">
        <v>103.8</v>
      </c>
      <c r="AE2">
        <v>104.7</v>
      </c>
      <c r="AF2">
        <f>AA2+AE2</f>
        <v>208.7</v>
      </c>
      <c r="AG2">
        <v>104</v>
      </c>
      <c r="AH2">
        <v>105.1</v>
      </c>
    </row>
    <row r="3" spans="1:34" x14ac:dyDescent="0.35">
      <c r="A3" t="s">
        <v>30</v>
      </c>
      <c r="B3">
        <v>2013</v>
      </c>
      <c r="C3" t="s">
        <v>29</v>
      </c>
      <c r="D3">
        <v>110.5</v>
      </c>
      <c r="E3">
        <v>109.1</v>
      </c>
      <c r="F3">
        <v>113</v>
      </c>
      <c r="G3">
        <v>103.6</v>
      </c>
      <c r="H3">
        <v>103.4</v>
      </c>
      <c r="I3">
        <v>102.3</v>
      </c>
      <c r="J3">
        <v>102.9</v>
      </c>
      <c r="K3">
        <v>105.8</v>
      </c>
      <c r="L3">
        <v>105.1</v>
      </c>
      <c r="M3">
        <v>101.8</v>
      </c>
      <c r="N3">
        <v>105.1</v>
      </c>
      <c r="O3">
        <v>107.9</v>
      </c>
      <c r="P3">
        <v>105.9</v>
      </c>
      <c r="Q3">
        <f t="shared" ref="Q3:Q66" si="0">SUM(D3:P3)</f>
        <v>1376.4</v>
      </c>
      <c r="R3">
        <v>105.2</v>
      </c>
      <c r="S3">
        <v>105.9</v>
      </c>
      <c r="T3">
        <v>105</v>
      </c>
      <c r="U3">
        <v>105.8</v>
      </c>
      <c r="V3">
        <v>316.7</v>
      </c>
      <c r="W3">
        <v>100.3</v>
      </c>
      <c r="X3">
        <v>105.4</v>
      </c>
      <c r="Y3">
        <v>104.8</v>
      </c>
      <c r="Z3">
        <f t="shared" ref="Z3:Z66" si="1">W3+Y3</f>
        <v>205.1</v>
      </c>
      <c r="AA3">
        <v>104.1</v>
      </c>
      <c r="AB3">
        <v>103.2</v>
      </c>
      <c r="AC3">
        <v>102.9</v>
      </c>
      <c r="AD3">
        <v>103.5</v>
      </c>
      <c r="AE3">
        <v>104.3</v>
      </c>
      <c r="AF3">
        <f t="shared" ref="AF3:AF66" si="2">AA3+AE3</f>
        <v>208.39999999999998</v>
      </c>
      <c r="AG3">
        <v>103.7</v>
      </c>
      <c r="AH3">
        <v>104</v>
      </c>
    </row>
    <row r="4" spans="1:34" x14ac:dyDescent="0.35">
      <c r="A4" t="s">
        <v>31</v>
      </c>
      <c r="B4">
        <v>2013</v>
      </c>
      <c r="C4" t="s">
        <v>29</v>
      </c>
      <c r="D4">
        <v>108.4</v>
      </c>
      <c r="E4">
        <v>107.3</v>
      </c>
      <c r="F4">
        <v>110</v>
      </c>
      <c r="G4">
        <v>104.4</v>
      </c>
      <c r="H4">
        <v>105.1</v>
      </c>
      <c r="I4">
        <v>103.2</v>
      </c>
      <c r="J4">
        <v>102.2</v>
      </c>
      <c r="K4">
        <v>106</v>
      </c>
      <c r="L4">
        <v>106.2</v>
      </c>
      <c r="M4">
        <v>102.7</v>
      </c>
      <c r="N4">
        <v>104.9</v>
      </c>
      <c r="O4">
        <v>107.3</v>
      </c>
      <c r="P4">
        <v>105.6</v>
      </c>
      <c r="Q4">
        <f t="shared" si="0"/>
        <v>1373.3000000000002</v>
      </c>
      <c r="R4">
        <v>105.1</v>
      </c>
      <c r="S4">
        <v>106.3</v>
      </c>
      <c r="T4">
        <v>105.5</v>
      </c>
      <c r="U4">
        <v>106.2</v>
      </c>
      <c r="V4">
        <v>318</v>
      </c>
      <c r="W4">
        <v>100.3</v>
      </c>
      <c r="X4">
        <v>105.5</v>
      </c>
      <c r="Y4">
        <v>104.8</v>
      </c>
      <c r="Z4">
        <f t="shared" si="1"/>
        <v>205.1</v>
      </c>
      <c r="AA4">
        <v>104</v>
      </c>
      <c r="AB4">
        <v>103.2</v>
      </c>
      <c r="AC4">
        <v>103.1</v>
      </c>
      <c r="AD4">
        <v>103.6</v>
      </c>
      <c r="AE4">
        <v>104.5</v>
      </c>
      <c r="AF4">
        <f t="shared" si="2"/>
        <v>208.5</v>
      </c>
      <c r="AG4">
        <v>103.9</v>
      </c>
      <c r="AH4">
        <v>104.6</v>
      </c>
    </row>
    <row r="5" spans="1:34" x14ac:dyDescent="0.35">
      <c r="A5" t="s">
        <v>28</v>
      </c>
      <c r="B5">
        <v>2013</v>
      </c>
      <c r="C5" t="s">
        <v>32</v>
      </c>
      <c r="D5">
        <v>109.2</v>
      </c>
      <c r="E5">
        <v>108.7</v>
      </c>
      <c r="F5">
        <v>110.2</v>
      </c>
      <c r="G5">
        <v>105.4</v>
      </c>
      <c r="H5">
        <v>106.7</v>
      </c>
      <c r="I5">
        <v>104</v>
      </c>
      <c r="J5">
        <v>102.4</v>
      </c>
      <c r="K5">
        <v>105.9</v>
      </c>
      <c r="L5">
        <v>105.7</v>
      </c>
      <c r="M5">
        <v>103.1</v>
      </c>
      <c r="N5">
        <v>105.1</v>
      </c>
      <c r="O5">
        <v>107.7</v>
      </c>
      <c r="P5">
        <v>106.3</v>
      </c>
      <c r="Q5">
        <f t="shared" si="0"/>
        <v>1380.3999999999999</v>
      </c>
      <c r="R5">
        <v>105.6</v>
      </c>
      <c r="S5">
        <v>107.1</v>
      </c>
      <c r="T5">
        <v>106.3</v>
      </c>
      <c r="U5">
        <v>107</v>
      </c>
      <c r="V5">
        <v>320.39999999999998</v>
      </c>
      <c r="W5">
        <v>100.4</v>
      </c>
      <c r="X5">
        <v>106.2</v>
      </c>
      <c r="Y5">
        <v>105.2</v>
      </c>
      <c r="Z5">
        <f t="shared" si="1"/>
        <v>205.60000000000002</v>
      </c>
      <c r="AA5">
        <v>104.4</v>
      </c>
      <c r="AB5">
        <v>103.9</v>
      </c>
      <c r="AC5">
        <v>104</v>
      </c>
      <c r="AD5">
        <v>104.1</v>
      </c>
      <c r="AE5">
        <v>104.6</v>
      </c>
      <c r="AF5">
        <f t="shared" si="2"/>
        <v>209</v>
      </c>
      <c r="AG5">
        <v>104.4</v>
      </c>
      <c r="AH5">
        <v>105.8</v>
      </c>
    </row>
    <row r="6" spans="1:34" x14ac:dyDescent="0.35">
      <c r="A6" t="s">
        <v>30</v>
      </c>
      <c r="B6">
        <v>2013</v>
      </c>
      <c r="C6" t="s">
        <v>32</v>
      </c>
      <c r="D6">
        <v>112.9</v>
      </c>
      <c r="E6">
        <v>112.9</v>
      </c>
      <c r="F6">
        <v>116.9</v>
      </c>
      <c r="G6">
        <v>104</v>
      </c>
      <c r="H6">
        <v>103.5</v>
      </c>
      <c r="I6">
        <v>103.1</v>
      </c>
      <c r="J6">
        <v>104.9</v>
      </c>
      <c r="K6">
        <v>104.1</v>
      </c>
      <c r="L6">
        <v>103.8</v>
      </c>
      <c r="M6">
        <v>102.3</v>
      </c>
      <c r="N6">
        <v>106</v>
      </c>
      <c r="O6">
        <v>109</v>
      </c>
      <c r="P6">
        <v>107.2</v>
      </c>
      <c r="Q6">
        <f t="shared" si="0"/>
        <v>1390.6000000000001</v>
      </c>
      <c r="R6">
        <v>106</v>
      </c>
      <c r="S6">
        <v>106.6</v>
      </c>
      <c r="T6">
        <v>105.5</v>
      </c>
      <c r="U6">
        <v>106.4</v>
      </c>
      <c r="V6">
        <v>318.5</v>
      </c>
      <c r="W6">
        <v>100.4</v>
      </c>
      <c r="X6">
        <v>105.7</v>
      </c>
      <c r="Y6">
        <v>105.2</v>
      </c>
      <c r="Z6">
        <f t="shared" si="1"/>
        <v>205.60000000000002</v>
      </c>
      <c r="AA6">
        <v>104.7</v>
      </c>
      <c r="AB6">
        <v>104.4</v>
      </c>
      <c r="AC6">
        <v>103.3</v>
      </c>
      <c r="AD6">
        <v>103.7</v>
      </c>
      <c r="AE6">
        <v>104.3</v>
      </c>
      <c r="AF6">
        <f t="shared" si="2"/>
        <v>209</v>
      </c>
      <c r="AG6">
        <v>104.3</v>
      </c>
      <c r="AH6">
        <v>104.7</v>
      </c>
    </row>
    <row r="7" spans="1:34" x14ac:dyDescent="0.35">
      <c r="A7" t="s">
        <v>31</v>
      </c>
      <c r="B7">
        <v>2013</v>
      </c>
      <c r="C7" t="s">
        <v>32</v>
      </c>
      <c r="D7">
        <v>110.4</v>
      </c>
      <c r="E7">
        <v>110.2</v>
      </c>
      <c r="F7">
        <v>112.8</v>
      </c>
      <c r="G7">
        <v>104.9</v>
      </c>
      <c r="H7">
        <v>105.5</v>
      </c>
      <c r="I7">
        <v>103.6</v>
      </c>
      <c r="J7">
        <v>103.2</v>
      </c>
      <c r="K7">
        <v>105.3</v>
      </c>
      <c r="L7">
        <v>105.1</v>
      </c>
      <c r="M7">
        <v>102.8</v>
      </c>
      <c r="N7">
        <v>105.5</v>
      </c>
      <c r="O7">
        <v>108.3</v>
      </c>
      <c r="P7">
        <v>106.6</v>
      </c>
      <c r="Q7">
        <f t="shared" si="0"/>
        <v>1384.2</v>
      </c>
      <c r="R7">
        <v>105.7</v>
      </c>
      <c r="S7">
        <v>106.9</v>
      </c>
      <c r="T7">
        <v>106</v>
      </c>
      <c r="U7">
        <v>106.8</v>
      </c>
      <c r="V7">
        <v>319.7</v>
      </c>
      <c r="W7">
        <v>100.4</v>
      </c>
      <c r="X7">
        <v>106</v>
      </c>
      <c r="Y7">
        <v>105.2</v>
      </c>
      <c r="Z7">
        <f t="shared" si="1"/>
        <v>205.60000000000002</v>
      </c>
      <c r="AA7">
        <v>104.5</v>
      </c>
      <c r="AB7">
        <v>104.2</v>
      </c>
      <c r="AC7">
        <v>103.6</v>
      </c>
      <c r="AD7">
        <v>103.9</v>
      </c>
      <c r="AE7">
        <v>104.5</v>
      </c>
      <c r="AF7">
        <f t="shared" si="2"/>
        <v>209</v>
      </c>
      <c r="AG7">
        <v>104.4</v>
      </c>
      <c r="AH7">
        <v>105.3</v>
      </c>
    </row>
    <row r="8" spans="1:34" x14ac:dyDescent="0.35">
      <c r="A8" t="s">
        <v>28</v>
      </c>
      <c r="B8">
        <v>2013</v>
      </c>
      <c r="C8" t="s">
        <v>33</v>
      </c>
      <c r="D8">
        <v>110.2</v>
      </c>
      <c r="E8">
        <v>108.8</v>
      </c>
      <c r="F8">
        <v>109.9</v>
      </c>
      <c r="G8">
        <v>105.6</v>
      </c>
      <c r="H8">
        <v>106.2</v>
      </c>
      <c r="I8">
        <v>105.7</v>
      </c>
      <c r="J8">
        <v>101.4</v>
      </c>
      <c r="K8">
        <v>105.7</v>
      </c>
      <c r="L8">
        <v>105</v>
      </c>
      <c r="M8">
        <v>103.3</v>
      </c>
      <c r="N8">
        <v>105.6</v>
      </c>
      <c r="O8">
        <v>108.2</v>
      </c>
      <c r="P8">
        <v>106.6</v>
      </c>
      <c r="Q8">
        <f t="shared" si="0"/>
        <v>1382.2</v>
      </c>
      <c r="R8">
        <v>106.5</v>
      </c>
      <c r="S8">
        <v>107.6</v>
      </c>
      <c r="T8">
        <v>106.8</v>
      </c>
      <c r="U8">
        <v>107.5</v>
      </c>
      <c r="V8">
        <v>321.89999999999998</v>
      </c>
      <c r="W8">
        <v>100.4</v>
      </c>
      <c r="X8">
        <v>106.1</v>
      </c>
      <c r="Y8">
        <v>105.6</v>
      </c>
      <c r="Z8">
        <f t="shared" si="1"/>
        <v>206</v>
      </c>
      <c r="AA8">
        <v>104.7</v>
      </c>
      <c r="AB8">
        <v>104.6</v>
      </c>
      <c r="AC8">
        <v>104</v>
      </c>
      <c r="AD8">
        <v>104.3</v>
      </c>
      <c r="AE8">
        <v>104.3</v>
      </c>
      <c r="AF8">
        <f t="shared" si="2"/>
        <v>209</v>
      </c>
      <c r="AG8">
        <v>104.6</v>
      </c>
      <c r="AH8">
        <v>106</v>
      </c>
    </row>
    <row r="9" spans="1:34" x14ac:dyDescent="0.35">
      <c r="A9" t="s">
        <v>30</v>
      </c>
      <c r="B9">
        <v>2013</v>
      </c>
      <c r="C9" t="s">
        <v>33</v>
      </c>
      <c r="D9">
        <v>113.9</v>
      </c>
      <c r="E9">
        <v>111.4</v>
      </c>
      <c r="F9">
        <v>113.2</v>
      </c>
      <c r="G9">
        <v>104.3</v>
      </c>
      <c r="H9">
        <v>102.7</v>
      </c>
      <c r="I9">
        <v>104.9</v>
      </c>
      <c r="J9">
        <v>103.8</v>
      </c>
      <c r="K9">
        <v>103.5</v>
      </c>
      <c r="L9">
        <v>102.6</v>
      </c>
      <c r="M9">
        <v>102.4</v>
      </c>
      <c r="N9">
        <v>107</v>
      </c>
      <c r="O9">
        <v>109.8</v>
      </c>
      <c r="P9">
        <v>107.3</v>
      </c>
      <c r="Q9">
        <f t="shared" si="0"/>
        <v>1386.8</v>
      </c>
      <c r="R9">
        <v>106.8</v>
      </c>
      <c r="S9">
        <v>107.2</v>
      </c>
      <c r="T9">
        <v>106</v>
      </c>
      <c r="U9">
        <v>107</v>
      </c>
      <c r="V9">
        <v>320.2</v>
      </c>
      <c r="W9">
        <v>100.4</v>
      </c>
      <c r="X9">
        <v>106</v>
      </c>
      <c r="Y9">
        <v>105.7</v>
      </c>
      <c r="Z9">
        <f t="shared" si="1"/>
        <v>206.10000000000002</v>
      </c>
      <c r="AA9">
        <v>105.2</v>
      </c>
      <c r="AB9">
        <v>105.5</v>
      </c>
      <c r="AC9">
        <v>103.5</v>
      </c>
      <c r="AD9">
        <v>103.8</v>
      </c>
      <c r="AE9">
        <v>104.2</v>
      </c>
      <c r="AF9">
        <f t="shared" si="2"/>
        <v>209.4</v>
      </c>
      <c r="AG9">
        <v>104.9</v>
      </c>
      <c r="AH9">
        <v>105</v>
      </c>
    </row>
    <row r="10" spans="1:34" x14ac:dyDescent="0.35">
      <c r="A10" t="s">
        <v>31</v>
      </c>
      <c r="B10">
        <v>2013</v>
      </c>
      <c r="C10" t="s">
        <v>33</v>
      </c>
      <c r="D10">
        <v>111.4</v>
      </c>
      <c r="E10">
        <v>109.7</v>
      </c>
      <c r="F10">
        <v>111.2</v>
      </c>
      <c r="G10">
        <v>105.1</v>
      </c>
      <c r="H10">
        <v>104.9</v>
      </c>
      <c r="I10">
        <v>105.3</v>
      </c>
      <c r="J10">
        <v>102.2</v>
      </c>
      <c r="K10">
        <v>105</v>
      </c>
      <c r="L10">
        <v>104.2</v>
      </c>
      <c r="M10">
        <v>103</v>
      </c>
      <c r="N10">
        <v>106.2</v>
      </c>
      <c r="O10">
        <v>108.9</v>
      </c>
      <c r="P10">
        <v>106.9</v>
      </c>
      <c r="Q10">
        <f t="shared" si="0"/>
        <v>1384.0000000000002</v>
      </c>
      <c r="R10">
        <v>106.6</v>
      </c>
      <c r="S10">
        <v>107.4</v>
      </c>
      <c r="T10">
        <v>106.5</v>
      </c>
      <c r="U10">
        <v>107.3</v>
      </c>
      <c r="V10">
        <v>321.2</v>
      </c>
      <c r="W10">
        <v>100.4</v>
      </c>
      <c r="X10">
        <v>106.1</v>
      </c>
      <c r="Y10">
        <v>105.6</v>
      </c>
      <c r="Z10">
        <f t="shared" si="1"/>
        <v>206</v>
      </c>
      <c r="AA10">
        <v>104.9</v>
      </c>
      <c r="AB10">
        <v>105.1</v>
      </c>
      <c r="AC10">
        <v>103.7</v>
      </c>
      <c r="AD10">
        <v>104</v>
      </c>
      <c r="AE10">
        <v>104.3</v>
      </c>
      <c r="AF10">
        <f t="shared" si="2"/>
        <v>209.2</v>
      </c>
      <c r="AG10">
        <v>104.7</v>
      </c>
      <c r="AH10">
        <v>105.5</v>
      </c>
    </row>
    <row r="11" spans="1:34" x14ac:dyDescent="0.35">
      <c r="A11" t="s">
        <v>28</v>
      </c>
      <c r="B11">
        <v>2013</v>
      </c>
      <c r="C11" t="s">
        <v>34</v>
      </c>
      <c r="D11">
        <v>110.2</v>
      </c>
      <c r="E11">
        <v>109.5</v>
      </c>
      <c r="F11">
        <v>106.9</v>
      </c>
      <c r="G11">
        <v>106.3</v>
      </c>
      <c r="H11">
        <v>105.7</v>
      </c>
      <c r="I11">
        <v>108.3</v>
      </c>
      <c r="J11">
        <v>103.4</v>
      </c>
      <c r="K11">
        <v>105.7</v>
      </c>
      <c r="L11">
        <v>104.2</v>
      </c>
      <c r="M11">
        <v>103.2</v>
      </c>
      <c r="N11">
        <v>106.5</v>
      </c>
      <c r="O11">
        <v>108.8</v>
      </c>
      <c r="P11">
        <v>107.1</v>
      </c>
      <c r="Q11">
        <f t="shared" si="0"/>
        <v>1385.8</v>
      </c>
      <c r="R11">
        <v>107.1</v>
      </c>
      <c r="S11">
        <v>108.1</v>
      </c>
      <c r="T11">
        <v>107.4</v>
      </c>
      <c r="U11">
        <v>108</v>
      </c>
      <c r="V11">
        <v>323.5</v>
      </c>
      <c r="W11">
        <v>100.5</v>
      </c>
      <c r="X11">
        <v>106.5</v>
      </c>
      <c r="Y11">
        <v>106.1</v>
      </c>
      <c r="Z11">
        <f t="shared" si="1"/>
        <v>206.6</v>
      </c>
      <c r="AA11">
        <v>105.1</v>
      </c>
      <c r="AB11">
        <v>104.4</v>
      </c>
      <c r="AC11">
        <v>104.5</v>
      </c>
      <c r="AD11">
        <v>104.8</v>
      </c>
      <c r="AE11">
        <v>102.7</v>
      </c>
      <c r="AF11">
        <f t="shared" si="2"/>
        <v>207.8</v>
      </c>
      <c r="AG11">
        <v>104.6</v>
      </c>
      <c r="AH11">
        <v>106.4</v>
      </c>
    </row>
    <row r="12" spans="1:34" x14ac:dyDescent="0.35">
      <c r="A12" t="s">
        <v>30</v>
      </c>
      <c r="B12">
        <v>2013</v>
      </c>
      <c r="C12" t="s">
        <v>34</v>
      </c>
      <c r="D12">
        <v>114.6</v>
      </c>
      <c r="E12">
        <v>113.4</v>
      </c>
      <c r="F12">
        <v>106</v>
      </c>
      <c r="G12">
        <v>104.7</v>
      </c>
      <c r="H12">
        <v>102.1</v>
      </c>
      <c r="I12">
        <v>109.5</v>
      </c>
      <c r="J12">
        <v>109.7</v>
      </c>
      <c r="K12">
        <v>104.6</v>
      </c>
      <c r="L12">
        <v>102</v>
      </c>
      <c r="M12">
        <v>103.5</v>
      </c>
      <c r="N12">
        <v>108.2</v>
      </c>
      <c r="O12">
        <v>110.6</v>
      </c>
      <c r="P12">
        <v>108.8</v>
      </c>
      <c r="Q12">
        <f t="shared" si="0"/>
        <v>1397.6999999999998</v>
      </c>
      <c r="R12">
        <v>108.5</v>
      </c>
      <c r="S12">
        <v>107.9</v>
      </c>
      <c r="T12">
        <v>106.4</v>
      </c>
      <c r="U12">
        <v>107.7</v>
      </c>
      <c r="V12">
        <v>322</v>
      </c>
      <c r="W12">
        <v>100.5</v>
      </c>
      <c r="X12">
        <v>106.4</v>
      </c>
      <c r="Y12">
        <v>106.5</v>
      </c>
      <c r="Z12">
        <f t="shared" si="1"/>
        <v>207</v>
      </c>
      <c r="AA12">
        <v>105.7</v>
      </c>
      <c r="AB12">
        <v>105</v>
      </c>
      <c r="AC12">
        <v>104</v>
      </c>
      <c r="AD12">
        <v>105.2</v>
      </c>
      <c r="AE12">
        <v>103.2</v>
      </c>
      <c r="AF12">
        <f t="shared" si="2"/>
        <v>208.9</v>
      </c>
      <c r="AG12">
        <v>105.1</v>
      </c>
      <c r="AH12">
        <v>105.7</v>
      </c>
    </row>
    <row r="13" spans="1:34" x14ac:dyDescent="0.35">
      <c r="A13" t="s">
        <v>31</v>
      </c>
      <c r="B13">
        <v>2013</v>
      </c>
      <c r="C13" t="s">
        <v>34</v>
      </c>
      <c r="D13">
        <v>111.6</v>
      </c>
      <c r="E13">
        <v>110.9</v>
      </c>
      <c r="F13">
        <v>106.6</v>
      </c>
      <c r="G13">
        <v>105.7</v>
      </c>
      <c r="H13">
        <v>104.4</v>
      </c>
      <c r="I13">
        <v>108.9</v>
      </c>
      <c r="J13">
        <v>105.5</v>
      </c>
      <c r="K13">
        <v>105.3</v>
      </c>
      <c r="L13">
        <v>103.5</v>
      </c>
      <c r="M13">
        <v>103.3</v>
      </c>
      <c r="N13">
        <v>107.2</v>
      </c>
      <c r="O13">
        <v>109.6</v>
      </c>
      <c r="P13">
        <v>107.7</v>
      </c>
      <c r="Q13">
        <f t="shared" si="0"/>
        <v>1390.2</v>
      </c>
      <c r="R13">
        <v>107.5</v>
      </c>
      <c r="S13">
        <v>108</v>
      </c>
      <c r="T13">
        <v>107</v>
      </c>
      <c r="U13">
        <v>107.9</v>
      </c>
      <c r="V13">
        <v>322.89999999999998</v>
      </c>
      <c r="W13">
        <v>100.5</v>
      </c>
      <c r="X13">
        <v>106.5</v>
      </c>
      <c r="Y13">
        <v>106.3</v>
      </c>
      <c r="Z13">
        <f t="shared" si="1"/>
        <v>206.8</v>
      </c>
      <c r="AA13">
        <v>105.3</v>
      </c>
      <c r="AB13">
        <v>104.7</v>
      </c>
      <c r="AC13">
        <v>104.2</v>
      </c>
      <c r="AD13">
        <v>105</v>
      </c>
      <c r="AE13">
        <v>102.9</v>
      </c>
      <c r="AF13">
        <f t="shared" si="2"/>
        <v>208.2</v>
      </c>
      <c r="AG13">
        <v>104.8</v>
      </c>
      <c r="AH13">
        <v>106.1</v>
      </c>
    </row>
    <row r="14" spans="1:34" x14ac:dyDescent="0.35">
      <c r="A14" t="s">
        <v>28</v>
      </c>
      <c r="B14">
        <v>2013</v>
      </c>
      <c r="C14" t="s">
        <v>35</v>
      </c>
      <c r="D14">
        <v>110.9</v>
      </c>
      <c r="E14">
        <v>109.8</v>
      </c>
      <c r="F14">
        <v>105.9</v>
      </c>
      <c r="G14">
        <v>107.5</v>
      </c>
      <c r="H14">
        <v>105.3</v>
      </c>
      <c r="I14">
        <v>108.1</v>
      </c>
      <c r="J14">
        <v>107.3</v>
      </c>
      <c r="K14">
        <v>106.1</v>
      </c>
      <c r="L14">
        <v>103.7</v>
      </c>
      <c r="M14">
        <v>104</v>
      </c>
      <c r="N14">
        <v>107.4</v>
      </c>
      <c r="O14">
        <v>109.9</v>
      </c>
      <c r="P14">
        <v>108.1</v>
      </c>
      <c r="Q14">
        <f t="shared" si="0"/>
        <v>1394</v>
      </c>
      <c r="R14">
        <v>108.1</v>
      </c>
      <c r="S14">
        <v>108.8</v>
      </c>
      <c r="T14">
        <v>107.9</v>
      </c>
      <c r="U14">
        <v>108.6</v>
      </c>
      <c r="V14">
        <v>325.29999999999995</v>
      </c>
      <c r="W14">
        <v>100.5</v>
      </c>
      <c r="X14">
        <v>107.5</v>
      </c>
      <c r="Y14">
        <v>106.8</v>
      </c>
      <c r="Z14">
        <f t="shared" si="1"/>
        <v>207.3</v>
      </c>
      <c r="AA14">
        <v>105.7</v>
      </c>
      <c r="AB14">
        <v>104.1</v>
      </c>
      <c r="AC14">
        <v>105</v>
      </c>
      <c r="AD14">
        <v>105.5</v>
      </c>
      <c r="AE14">
        <v>102.1</v>
      </c>
      <c r="AF14">
        <f t="shared" si="2"/>
        <v>207.8</v>
      </c>
      <c r="AG14">
        <v>104.8</v>
      </c>
      <c r="AH14">
        <v>107.2</v>
      </c>
    </row>
    <row r="15" spans="1:34" x14ac:dyDescent="0.35">
      <c r="A15" t="s">
        <v>30</v>
      </c>
      <c r="B15">
        <v>2013</v>
      </c>
      <c r="C15" t="s">
        <v>35</v>
      </c>
      <c r="D15">
        <v>115.4</v>
      </c>
      <c r="E15">
        <v>114.2</v>
      </c>
      <c r="F15">
        <v>102.7</v>
      </c>
      <c r="G15">
        <v>105.5</v>
      </c>
      <c r="H15">
        <v>101.5</v>
      </c>
      <c r="I15">
        <v>110.6</v>
      </c>
      <c r="J15">
        <v>123.7</v>
      </c>
      <c r="K15">
        <v>105.2</v>
      </c>
      <c r="L15">
        <v>101.9</v>
      </c>
      <c r="M15">
        <v>105</v>
      </c>
      <c r="N15">
        <v>109.1</v>
      </c>
      <c r="O15">
        <v>111.3</v>
      </c>
      <c r="P15">
        <v>111.1</v>
      </c>
      <c r="Q15">
        <f t="shared" si="0"/>
        <v>1417.1999999999998</v>
      </c>
      <c r="R15">
        <v>109.8</v>
      </c>
      <c r="S15">
        <v>108.5</v>
      </c>
      <c r="T15">
        <v>106.7</v>
      </c>
      <c r="U15">
        <v>108.3</v>
      </c>
      <c r="V15">
        <v>323.5</v>
      </c>
      <c r="W15">
        <v>100.5</v>
      </c>
      <c r="X15">
        <v>107.2</v>
      </c>
      <c r="Y15">
        <v>107.1</v>
      </c>
      <c r="Z15">
        <f t="shared" si="1"/>
        <v>207.6</v>
      </c>
      <c r="AA15">
        <v>106.2</v>
      </c>
      <c r="AB15">
        <v>103.9</v>
      </c>
      <c r="AC15">
        <v>104.6</v>
      </c>
      <c r="AD15">
        <v>105.7</v>
      </c>
      <c r="AE15">
        <v>102.6</v>
      </c>
      <c r="AF15">
        <f t="shared" si="2"/>
        <v>208.8</v>
      </c>
      <c r="AG15">
        <v>104.9</v>
      </c>
      <c r="AH15">
        <v>106.6</v>
      </c>
    </row>
    <row r="16" spans="1:34" x14ac:dyDescent="0.35">
      <c r="A16" t="s">
        <v>31</v>
      </c>
      <c r="B16">
        <v>2013</v>
      </c>
      <c r="C16" t="s">
        <v>35</v>
      </c>
      <c r="D16">
        <v>112.3</v>
      </c>
      <c r="E16">
        <v>111.3</v>
      </c>
      <c r="F16">
        <v>104.7</v>
      </c>
      <c r="G16">
        <v>106.8</v>
      </c>
      <c r="H16">
        <v>103.9</v>
      </c>
      <c r="I16">
        <v>109.3</v>
      </c>
      <c r="J16">
        <v>112.9</v>
      </c>
      <c r="K16">
        <v>105.8</v>
      </c>
      <c r="L16">
        <v>103.1</v>
      </c>
      <c r="M16">
        <v>104.3</v>
      </c>
      <c r="N16">
        <v>108.1</v>
      </c>
      <c r="O16">
        <v>110.5</v>
      </c>
      <c r="P16">
        <v>109.2</v>
      </c>
      <c r="Q16">
        <f t="shared" si="0"/>
        <v>1402.1999999999998</v>
      </c>
      <c r="R16">
        <v>108.6</v>
      </c>
      <c r="S16">
        <v>108.7</v>
      </c>
      <c r="T16">
        <v>107.4</v>
      </c>
      <c r="U16">
        <v>108.5</v>
      </c>
      <c r="V16">
        <v>324.60000000000002</v>
      </c>
      <c r="W16">
        <v>100.5</v>
      </c>
      <c r="X16">
        <v>107.4</v>
      </c>
      <c r="Y16">
        <v>106.9</v>
      </c>
      <c r="Z16">
        <f t="shared" si="1"/>
        <v>207.4</v>
      </c>
      <c r="AA16">
        <v>105.9</v>
      </c>
      <c r="AB16">
        <v>104</v>
      </c>
      <c r="AC16">
        <v>104.8</v>
      </c>
      <c r="AD16">
        <v>105.6</v>
      </c>
      <c r="AE16">
        <v>102.3</v>
      </c>
      <c r="AF16">
        <f t="shared" si="2"/>
        <v>208.2</v>
      </c>
      <c r="AG16">
        <v>104.8</v>
      </c>
      <c r="AH16">
        <v>106.9</v>
      </c>
    </row>
    <row r="17" spans="1:34" x14ac:dyDescent="0.35">
      <c r="A17" t="s">
        <v>28</v>
      </c>
      <c r="B17">
        <v>2013</v>
      </c>
      <c r="C17" t="s">
        <v>36</v>
      </c>
      <c r="D17">
        <v>112.3</v>
      </c>
      <c r="E17">
        <v>112.1</v>
      </c>
      <c r="F17">
        <v>108.1</v>
      </c>
      <c r="G17">
        <v>108.3</v>
      </c>
      <c r="H17">
        <v>105.9</v>
      </c>
      <c r="I17">
        <v>109.2</v>
      </c>
      <c r="J17">
        <v>118</v>
      </c>
      <c r="K17">
        <v>106.8</v>
      </c>
      <c r="L17">
        <v>104.1</v>
      </c>
      <c r="M17">
        <v>105.4</v>
      </c>
      <c r="N17">
        <v>108.2</v>
      </c>
      <c r="O17">
        <v>111</v>
      </c>
      <c r="P17">
        <v>110.6</v>
      </c>
      <c r="Q17">
        <f t="shared" si="0"/>
        <v>1420</v>
      </c>
      <c r="R17">
        <v>109</v>
      </c>
      <c r="S17">
        <v>109.7</v>
      </c>
      <c r="T17">
        <v>108.8</v>
      </c>
      <c r="U17">
        <v>109.5</v>
      </c>
      <c r="V17">
        <v>328</v>
      </c>
      <c r="W17">
        <v>106.6</v>
      </c>
      <c r="X17">
        <v>108.5</v>
      </c>
      <c r="Y17">
        <v>107.5</v>
      </c>
      <c r="Z17">
        <f t="shared" si="1"/>
        <v>214.1</v>
      </c>
      <c r="AA17">
        <v>106.3</v>
      </c>
      <c r="AB17">
        <v>105</v>
      </c>
      <c r="AC17">
        <v>105.6</v>
      </c>
      <c r="AD17">
        <v>106.5</v>
      </c>
      <c r="AE17">
        <v>102.5</v>
      </c>
      <c r="AF17">
        <f t="shared" si="2"/>
        <v>208.8</v>
      </c>
      <c r="AG17">
        <v>105.5</v>
      </c>
      <c r="AH17">
        <v>108.9</v>
      </c>
    </row>
    <row r="18" spans="1:34" x14ac:dyDescent="0.35">
      <c r="A18" t="s">
        <v>30</v>
      </c>
      <c r="B18">
        <v>2013</v>
      </c>
      <c r="C18" t="s">
        <v>36</v>
      </c>
      <c r="D18">
        <v>117</v>
      </c>
      <c r="E18">
        <v>120.1</v>
      </c>
      <c r="F18">
        <v>112.5</v>
      </c>
      <c r="G18">
        <v>107.3</v>
      </c>
      <c r="H18">
        <v>101.3</v>
      </c>
      <c r="I18">
        <v>112.4</v>
      </c>
      <c r="J18">
        <v>143.6</v>
      </c>
      <c r="K18">
        <v>105.4</v>
      </c>
      <c r="L18">
        <v>101.4</v>
      </c>
      <c r="M18">
        <v>106.4</v>
      </c>
      <c r="N18">
        <v>110</v>
      </c>
      <c r="O18">
        <v>112.2</v>
      </c>
      <c r="P18">
        <v>115</v>
      </c>
      <c r="Q18">
        <f t="shared" si="0"/>
        <v>1464.6000000000001</v>
      </c>
      <c r="R18">
        <v>110.9</v>
      </c>
      <c r="S18">
        <v>109.2</v>
      </c>
      <c r="T18">
        <v>107.2</v>
      </c>
      <c r="U18">
        <v>108.9</v>
      </c>
      <c r="V18">
        <v>325.3</v>
      </c>
      <c r="W18">
        <v>106.6</v>
      </c>
      <c r="X18">
        <v>108</v>
      </c>
      <c r="Y18">
        <v>107.7</v>
      </c>
      <c r="Z18">
        <f t="shared" si="1"/>
        <v>214.3</v>
      </c>
      <c r="AA18">
        <v>106.5</v>
      </c>
      <c r="AB18">
        <v>105.2</v>
      </c>
      <c r="AC18">
        <v>105.2</v>
      </c>
      <c r="AD18">
        <v>108.1</v>
      </c>
      <c r="AE18">
        <v>103.3</v>
      </c>
      <c r="AF18">
        <f t="shared" si="2"/>
        <v>209.8</v>
      </c>
      <c r="AG18">
        <v>106.1</v>
      </c>
      <c r="AH18">
        <v>109.7</v>
      </c>
    </row>
    <row r="19" spans="1:34" x14ac:dyDescent="0.35">
      <c r="A19" t="s">
        <v>31</v>
      </c>
      <c r="B19">
        <v>2013</v>
      </c>
      <c r="C19" t="s">
        <v>36</v>
      </c>
      <c r="D19">
        <v>113.8</v>
      </c>
      <c r="E19">
        <v>114.9</v>
      </c>
      <c r="F19">
        <v>109.8</v>
      </c>
      <c r="G19">
        <v>107.9</v>
      </c>
      <c r="H19">
        <v>104.2</v>
      </c>
      <c r="I19">
        <v>110.7</v>
      </c>
      <c r="J19">
        <v>126.7</v>
      </c>
      <c r="K19">
        <v>106.3</v>
      </c>
      <c r="L19">
        <v>103.2</v>
      </c>
      <c r="M19">
        <v>105.7</v>
      </c>
      <c r="N19">
        <v>109</v>
      </c>
      <c r="O19">
        <v>111.6</v>
      </c>
      <c r="P19">
        <v>112.2</v>
      </c>
      <c r="Q19">
        <f t="shared" si="0"/>
        <v>1436</v>
      </c>
      <c r="R19">
        <v>109.5</v>
      </c>
      <c r="S19">
        <v>109.5</v>
      </c>
      <c r="T19">
        <v>108.1</v>
      </c>
      <c r="U19">
        <v>109.3</v>
      </c>
      <c r="V19">
        <v>326.89999999999998</v>
      </c>
      <c r="W19">
        <v>106.6</v>
      </c>
      <c r="X19">
        <v>108.3</v>
      </c>
      <c r="Y19">
        <v>107.6</v>
      </c>
      <c r="Z19">
        <f t="shared" si="1"/>
        <v>214.2</v>
      </c>
      <c r="AA19">
        <v>106.4</v>
      </c>
      <c r="AB19">
        <v>105.1</v>
      </c>
      <c r="AC19">
        <v>105.4</v>
      </c>
      <c r="AD19">
        <v>107.4</v>
      </c>
      <c r="AE19">
        <v>102.8</v>
      </c>
      <c r="AF19">
        <f t="shared" si="2"/>
        <v>209.2</v>
      </c>
      <c r="AG19">
        <v>105.8</v>
      </c>
      <c r="AH19">
        <v>109.3</v>
      </c>
    </row>
    <row r="20" spans="1:34" x14ac:dyDescent="0.35">
      <c r="A20" t="s">
        <v>28</v>
      </c>
      <c r="B20">
        <v>2013</v>
      </c>
      <c r="C20" t="s">
        <v>37</v>
      </c>
      <c r="D20">
        <v>113.4</v>
      </c>
      <c r="E20">
        <v>114.9</v>
      </c>
      <c r="F20">
        <v>110.5</v>
      </c>
      <c r="G20">
        <v>109.3</v>
      </c>
      <c r="H20">
        <v>106.2</v>
      </c>
      <c r="I20">
        <v>110.3</v>
      </c>
      <c r="J20">
        <v>129.19999999999999</v>
      </c>
      <c r="K20">
        <v>107.1</v>
      </c>
      <c r="L20">
        <v>104.3</v>
      </c>
      <c r="M20">
        <v>106.4</v>
      </c>
      <c r="N20">
        <v>109.1</v>
      </c>
      <c r="O20">
        <v>112.1</v>
      </c>
      <c r="P20">
        <v>113.1</v>
      </c>
      <c r="Q20">
        <f t="shared" si="0"/>
        <v>1445.8999999999996</v>
      </c>
      <c r="R20">
        <v>109.8</v>
      </c>
      <c r="S20">
        <v>110.5</v>
      </c>
      <c r="T20">
        <v>109.5</v>
      </c>
      <c r="U20">
        <v>110.3</v>
      </c>
      <c r="V20">
        <v>330.3</v>
      </c>
      <c r="W20">
        <v>107.7</v>
      </c>
      <c r="X20">
        <v>109.5</v>
      </c>
      <c r="Y20">
        <v>108.3</v>
      </c>
      <c r="Z20">
        <f t="shared" si="1"/>
        <v>216</v>
      </c>
      <c r="AA20">
        <v>106.9</v>
      </c>
      <c r="AB20">
        <v>106.8</v>
      </c>
      <c r="AC20">
        <v>106.4</v>
      </c>
      <c r="AD20">
        <v>107.8</v>
      </c>
      <c r="AE20">
        <v>102.5</v>
      </c>
      <c r="AF20">
        <f t="shared" si="2"/>
        <v>209.4</v>
      </c>
      <c r="AG20">
        <v>106.5</v>
      </c>
      <c r="AH20">
        <v>110.7</v>
      </c>
    </row>
    <row r="21" spans="1:34" x14ac:dyDescent="0.35">
      <c r="A21" t="s">
        <v>30</v>
      </c>
      <c r="B21">
        <v>2013</v>
      </c>
      <c r="C21" t="s">
        <v>37</v>
      </c>
      <c r="D21">
        <v>117.8</v>
      </c>
      <c r="E21">
        <v>119.2</v>
      </c>
      <c r="F21">
        <v>114</v>
      </c>
      <c r="G21">
        <v>108.3</v>
      </c>
      <c r="H21">
        <v>101.1</v>
      </c>
      <c r="I21">
        <v>113.2</v>
      </c>
      <c r="J21">
        <v>160.9</v>
      </c>
      <c r="K21">
        <v>105.1</v>
      </c>
      <c r="L21">
        <v>101.3</v>
      </c>
      <c r="M21">
        <v>107.5</v>
      </c>
      <c r="N21">
        <v>110.4</v>
      </c>
      <c r="O21">
        <v>113.1</v>
      </c>
      <c r="P21">
        <v>117.5</v>
      </c>
      <c r="Q21">
        <f t="shared" si="0"/>
        <v>1489.4</v>
      </c>
      <c r="R21">
        <v>111.7</v>
      </c>
      <c r="S21">
        <v>109.8</v>
      </c>
      <c r="T21">
        <v>107.8</v>
      </c>
      <c r="U21">
        <v>109.5</v>
      </c>
      <c r="V21">
        <v>327.10000000000002</v>
      </c>
      <c r="W21">
        <v>107.7</v>
      </c>
      <c r="X21">
        <v>108.6</v>
      </c>
      <c r="Y21">
        <v>108.1</v>
      </c>
      <c r="Z21">
        <f t="shared" si="1"/>
        <v>215.8</v>
      </c>
      <c r="AA21">
        <v>107.1</v>
      </c>
      <c r="AB21">
        <v>107.3</v>
      </c>
      <c r="AC21">
        <v>105.9</v>
      </c>
      <c r="AD21">
        <v>110.1</v>
      </c>
      <c r="AE21">
        <v>103.2</v>
      </c>
      <c r="AF21">
        <f t="shared" si="2"/>
        <v>210.3</v>
      </c>
      <c r="AG21">
        <v>107.3</v>
      </c>
      <c r="AH21">
        <v>111.4</v>
      </c>
    </row>
    <row r="22" spans="1:34" x14ac:dyDescent="0.35">
      <c r="A22" t="s">
        <v>31</v>
      </c>
      <c r="B22">
        <v>2013</v>
      </c>
      <c r="C22" t="s">
        <v>37</v>
      </c>
      <c r="D22">
        <v>114.8</v>
      </c>
      <c r="E22">
        <v>116.4</v>
      </c>
      <c r="F22">
        <v>111.9</v>
      </c>
      <c r="G22">
        <v>108.9</v>
      </c>
      <c r="H22">
        <v>104.3</v>
      </c>
      <c r="I22">
        <v>111.7</v>
      </c>
      <c r="J22">
        <v>140</v>
      </c>
      <c r="K22">
        <v>106.4</v>
      </c>
      <c r="L22">
        <v>103.3</v>
      </c>
      <c r="M22">
        <v>106.8</v>
      </c>
      <c r="N22">
        <v>109.6</v>
      </c>
      <c r="O22">
        <v>112.6</v>
      </c>
      <c r="P22">
        <v>114.7</v>
      </c>
      <c r="Q22">
        <f t="shared" si="0"/>
        <v>1461.3999999999999</v>
      </c>
      <c r="R22">
        <v>110.3</v>
      </c>
      <c r="S22">
        <v>110.2</v>
      </c>
      <c r="T22">
        <v>108.8</v>
      </c>
      <c r="U22">
        <v>110</v>
      </c>
      <c r="V22">
        <v>329</v>
      </c>
      <c r="W22">
        <v>107.7</v>
      </c>
      <c r="X22">
        <v>109.2</v>
      </c>
      <c r="Y22">
        <v>108.2</v>
      </c>
      <c r="Z22">
        <f t="shared" si="1"/>
        <v>215.9</v>
      </c>
      <c r="AA22">
        <v>107</v>
      </c>
      <c r="AB22">
        <v>107.1</v>
      </c>
      <c r="AC22">
        <v>106.1</v>
      </c>
      <c r="AD22">
        <v>109.1</v>
      </c>
      <c r="AE22">
        <v>102.8</v>
      </c>
      <c r="AF22">
        <f t="shared" si="2"/>
        <v>209.8</v>
      </c>
      <c r="AG22">
        <v>106.9</v>
      </c>
      <c r="AH22">
        <v>111</v>
      </c>
    </row>
    <row r="23" spans="1:34" x14ac:dyDescent="0.35">
      <c r="A23" t="s">
        <v>28</v>
      </c>
      <c r="B23">
        <v>2013</v>
      </c>
      <c r="C23" t="s">
        <v>38</v>
      </c>
      <c r="D23">
        <v>114.3</v>
      </c>
      <c r="E23">
        <v>115.4</v>
      </c>
      <c r="F23">
        <v>111.1</v>
      </c>
      <c r="G23">
        <v>110</v>
      </c>
      <c r="H23">
        <v>106.4</v>
      </c>
      <c r="I23">
        <v>110.8</v>
      </c>
      <c r="J23">
        <v>138.9</v>
      </c>
      <c r="K23">
        <v>107.4</v>
      </c>
      <c r="L23">
        <v>104.1</v>
      </c>
      <c r="M23">
        <v>106.9</v>
      </c>
      <c r="N23">
        <v>109.7</v>
      </c>
      <c r="O23">
        <v>112.6</v>
      </c>
      <c r="P23">
        <v>114.9</v>
      </c>
      <c r="Q23">
        <f t="shared" si="0"/>
        <v>1462.5</v>
      </c>
      <c r="R23">
        <v>110.7</v>
      </c>
      <c r="S23">
        <v>111.3</v>
      </c>
      <c r="T23">
        <v>110.2</v>
      </c>
      <c r="U23">
        <v>111.1</v>
      </c>
      <c r="V23">
        <v>332.6</v>
      </c>
      <c r="W23">
        <v>108.9</v>
      </c>
      <c r="X23">
        <v>109.9</v>
      </c>
      <c r="Y23">
        <v>108.7</v>
      </c>
      <c r="Z23">
        <f t="shared" si="1"/>
        <v>217.60000000000002</v>
      </c>
      <c r="AA23">
        <v>107.5</v>
      </c>
      <c r="AB23">
        <v>107.8</v>
      </c>
      <c r="AC23">
        <v>106.8</v>
      </c>
      <c r="AD23">
        <v>108.7</v>
      </c>
      <c r="AE23">
        <v>105</v>
      </c>
      <c r="AF23">
        <f t="shared" si="2"/>
        <v>212.5</v>
      </c>
      <c r="AG23">
        <v>107.5</v>
      </c>
      <c r="AH23">
        <v>112.1</v>
      </c>
    </row>
    <row r="24" spans="1:34" x14ac:dyDescent="0.35">
      <c r="A24" t="s">
        <v>30</v>
      </c>
      <c r="B24">
        <v>2013</v>
      </c>
      <c r="C24" t="s">
        <v>38</v>
      </c>
      <c r="D24">
        <v>118.3</v>
      </c>
      <c r="E24">
        <v>120.4</v>
      </c>
      <c r="F24">
        <v>112.7</v>
      </c>
      <c r="G24">
        <v>108.9</v>
      </c>
      <c r="H24">
        <v>101.1</v>
      </c>
      <c r="I24">
        <v>108.7</v>
      </c>
      <c r="J24">
        <v>177</v>
      </c>
      <c r="K24">
        <v>104.7</v>
      </c>
      <c r="L24">
        <v>101</v>
      </c>
      <c r="M24">
        <v>108.5</v>
      </c>
      <c r="N24">
        <v>110.9</v>
      </c>
      <c r="O24">
        <v>114.3</v>
      </c>
      <c r="P24">
        <v>119.6</v>
      </c>
      <c r="Q24">
        <f t="shared" si="0"/>
        <v>1506.1000000000001</v>
      </c>
      <c r="R24">
        <v>112.4</v>
      </c>
      <c r="S24">
        <v>110.6</v>
      </c>
      <c r="T24">
        <v>108.3</v>
      </c>
      <c r="U24">
        <v>110.2</v>
      </c>
      <c r="V24">
        <v>329.09999999999997</v>
      </c>
      <c r="W24">
        <v>108.9</v>
      </c>
      <c r="X24">
        <v>109.3</v>
      </c>
      <c r="Y24">
        <v>108.7</v>
      </c>
      <c r="Z24">
        <f t="shared" si="1"/>
        <v>217.60000000000002</v>
      </c>
      <c r="AA24">
        <v>107.6</v>
      </c>
      <c r="AB24">
        <v>108.1</v>
      </c>
      <c r="AC24">
        <v>106.5</v>
      </c>
      <c r="AD24">
        <v>110.8</v>
      </c>
      <c r="AE24">
        <v>106</v>
      </c>
      <c r="AF24">
        <f t="shared" si="2"/>
        <v>213.6</v>
      </c>
      <c r="AG24">
        <v>108.3</v>
      </c>
      <c r="AH24">
        <v>112.7</v>
      </c>
    </row>
    <row r="25" spans="1:34" x14ac:dyDescent="0.35">
      <c r="A25" t="s">
        <v>31</v>
      </c>
      <c r="B25">
        <v>2013</v>
      </c>
      <c r="C25" t="s">
        <v>38</v>
      </c>
      <c r="D25">
        <v>115.6</v>
      </c>
      <c r="E25">
        <v>117.2</v>
      </c>
      <c r="F25">
        <v>111.7</v>
      </c>
      <c r="G25">
        <v>109.6</v>
      </c>
      <c r="H25">
        <v>104.5</v>
      </c>
      <c r="I25">
        <v>109.8</v>
      </c>
      <c r="J25">
        <v>151.80000000000001</v>
      </c>
      <c r="K25">
        <v>106.5</v>
      </c>
      <c r="L25">
        <v>103.1</v>
      </c>
      <c r="M25">
        <v>107.4</v>
      </c>
      <c r="N25">
        <v>110.2</v>
      </c>
      <c r="O25">
        <v>113.4</v>
      </c>
      <c r="P25">
        <v>116.6</v>
      </c>
      <c r="Q25">
        <f t="shared" si="0"/>
        <v>1477.4</v>
      </c>
      <c r="R25">
        <v>111.2</v>
      </c>
      <c r="S25">
        <v>111</v>
      </c>
      <c r="T25">
        <v>109.4</v>
      </c>
      <c r="U25">
        <v>110.7</v>
      </c>
      <c r="V25">
        <v>331.1</v>
      </c>
      <c r="W25">
        <v>108.9</v>
      </c>
      <c r="X25">
        <v>109.7</v>
      </c>
      <c r="Y25">
        <v>108.7</v>
      </c>
      <c r="Z25">
        <f t="shared" si="1"/>
        <v>217.60000000000002</v>
      </c>
      <c r="AA25">
        <v>107.5</v>
      </c>
      <c r="AB25">
        <v>108</v>
      </c>
      <c r="AC25">
        <v>106.6</v>
      </c>
      <c r="AD25">
        <v>109.9</v>
      </c>
      <c r="AE25">
        <v>105.4</v>
      </c>
      <c r="AF25">
        <f t="shared" si="2"/>
        <v>212.9</v>
      </c>
      <c r="AG25">
        <v>107.9</v>
      </c>
      <c r="AH25">
        <v>112.4</v>
      </c>
    </row>
    <row r="26" spans="1:34" x14ac:dyDescent="0.35">
      <c r="A26" t="s">
        <v>28</v>
      </c>
      <c r="B26">
        <v>2013</v>
      </c>
      <c r="C26" t="s">
        <v>39</v>
      </c>
      <c r="D26">
        <v>115.4</v>
      </c>
      <c r="E26">
        <v>115.7</v>
      </c>
      <c r="F26">
        <v>111.7</v>
      </c>
      <c r="G26">
        <v>111</v>
      </c>
      <c r="H26">
        <v>107.4</v>
      </c>
      <c r="I26">
        <v>110.9</v>
      </c>
      <c r="J26">
        <v>154</v>
      </c>
      <c r="K26">
        <v>108.1</v>
      </c>
      <c r="L26">
        <v>104.2</v>
      </c>
      <c r="M26">
        <v>107.9</v>
      </c>
      <c r="N26">
        <v>110.4</v>
      </c>
      <c r="O26">
        <v>114</v>
      </c>
      <c r="P26">
        <v>117.8</v>
      </c>
      <c r="Q26">
        <f t="shared" si="0"/>
        <v>1488.5000000000002</v>
      </c>
      <c r="R26">
        <v>111.7</v>
      </c>
      <c r="S26">
        <v>112.7</v>
      </c>
      <c r="T26">
        <v>111.4</v>
      </c>
      <c r="U26">
        <v>112.5</v>
      </c>
      <c r="V26">
        <v>336.6</v>
      </c>
      <c r="W26">
        <v>109.7</v>
      </c>
      <c r="X26">
        <v>111.1</v>
      </c>
      <c r="Y26">
        <v>109.6</v>
      </c>
      <c r="Z26">
        <f t="shared" si="1"/>
        <v>219.3</v>
      </c>
      <c r="AA26">
        <v>108.3</v>
      </c>
      <c r="AB26">
        <v>109.3</v>
      </c>
      <c r="AC26">
        <v>107.7</v>
      </c>
      <c r="AD26">
        <v>109.8</v>
      </c>
      <c r="AE26">
        <v>106.7</v>
      </c>
      <c r="AF26">
        <f t="shared" si="2"/>
        <v>215</v>
      </c>
      <c r="AG26">
        <v>108.7</v>
      </c>
      <c r="AH26">
        <v>114.2</v>
      </c>
    </row>
    <row r="27" spans="1:34" x14ac:dyDescent="0.35">
      <c r="A27" t="s">
        <v>30</v>
      </c>
      <c r="B27">
        <v>2013</v>
      </c>
      <c r="C27" t="s">
        <v>39</v>
      </c>
      <c r="D27">
        <v>118.6</v>
      </c>
      <c r="E27">
        <v>119.1</v>
      </c>
      <c r="F27">
        <v>113.2</v>
      </c>
      <c r="G27">
        <v>109.6</v>
      </c>
      <c r="H27">
        <v>101.7</v>
      </c>
      <c r="I27">
        <v>103.2</v>
      </c>
      <c r="J27">
        <v>174.3</v>
      </c>
      <c r="K27">
        <v>105.1</v>
      </c>
      <c r="L27">
        <v>100.8</v>
      </c>
      <c r="M27">
        <v>109.1</v>
      </c>
      <c r="N27">
        <v>111.1</v>
      </c>
      <c r="O27">
        <v>115.4</v>
      </c>
      <c r="P27">
        <v>119.2</v>
      </c>
      <c r="Q27">
        <f t="shared" si="0"/>
        <v>1500.4</v>
      </c>
      <c r="R27">
        <v>112.9</v>
      </c>
      <c r="S27">
        <v>111.4</v>
      </c>
      <c r="T27">
        <v>109</v>
      </c>
      <c r="U27">
        <v>111.1</v>
      </c>
      <c r="V27">
        <v>331.5</v>
      </c>
      <c r="W27">
        <v>109.7</v>
      </c>
      <c r="X27">
        <v>109.5</v>
      </c>
      <c r="Y27">
        <v>109.6</v>
      </c>
      <c r="Z27">
        <f t="shared" si="1"/>
        <v>219.3</v>
      </c>
      <c r="AA27">
        <v>107.9</v>
      </c>
      <c r="AB27">
        <v>110.4</v>
      </c>
      <c r="AC27">
        <v>107.4</v>
      </c>
      <c r="AD27">
        <v>111.2</v>
      </c>
      <c r="AE27">
        <v>106.9</v>
      </c>
      <c r="AF27">
        <f t="shared" si="2"/>
        <v>214.8</v>
      </c>
      <c r="AG27">
        <v>109.4</v>
      </c>
      <c r="AH27">
        <v>113.2</v>
      </c>
    </row>
    <row r="28" spans="1:34" x14ac:dyDescent="0.35">
      <c r="A28" t="s">
        <v>31</v>
      </c>
      <c r="B28">
        <v>2013</v>
      </c>
      <c r="C28" t="s">
        <v>39</v>
      </c>
      <c r="D28">
        <v>116.4</v>
      </c>
      <c r="E28">
        <v>116.9</v>
      </c>
      <c r="F28">
        <v>112.3</v>
      </c>
      <c r="G28">
        <v>110.5</v>
      </c>
      <c r="H28">
        <v>105.3</v>
      </c>
      <c r="I28">
        <v>107.3</v>
      </c>
      <c r="J28">
        <v>160.9</v>
      </c>
      <c r="K28">
        <v>107.1</v>
      </c>
      <c r="L28">
        <v>103.1</v>
      </c>
      <c r="M28">
        <v>108.3</v>
      </c>
      <c r="N28">
        <v>110.7</v>
      </c>
      <c r="O28">
        <v>114.6</v>
      </c>
      <c r="P28">
        <v>118.3</v>
      </c>
      <c r="Q28">
        <f t="shared" si="0"/>
        <v>1491.6999999999998</v>
      </c>
      <c r="R28">
        <v>112</v>
      </c>
      <c r="S28">
        <v>112.2</v>
      </c>
      <c r="T28">
        <v>110.4</v>
      </c>
      <c r="U28">
        <v>111.9</v>
      </c>
      <c r="V28">
        <v>334.5</v>
      </c>
      <c r="W28">
        <v>109.7</v>
      </c>
      <c r="X28">
        <v>110.5</v>
      </c>
      <c r="Y28">
        <v>109.6</v>
      </c>
      <c r="Z28">
        <f t="shared" si="1"/>
        <v>219.3</v>
      </c>
      <c r="AA28">
        <v>108.1</v>
      </c>
      <c r="AB28">
        <v>109.9</v>
      </c>
      <c r="AC28">
        <v>107.5</v>
      </c>
      <c r="AD28">
        <v>110.6</v>
      </c>
      <c r="AE28">
        <v>106.8</v>
      </c>
      <c r="AF28">
        <f t="shared" si="2"/>
        <v>214.89999999999998</v>
      </c>
      <c r="AG28">
        <v>109</v>
      </c>
      <c r="AH28">
        <v>113.7</v>
      </c>
    </row>
    <row r="29" spans="1:34" x14ac:dyDescent="0.35">
      <c r="A29" t="s">
        <v>28</v>
      </c>
      <c r="B29">
        <v>2013</v>
      </c>
      <c r="C29" t="s">
        <v>40</v>
      </c>
      <c r="D29">
        <v>116.3</v>
      </c>
      <c r="E29">
        <v>115.4</v>
      </c>
      <c r="F29">
        <v>112.6</v>
      </c>
      <c r="G29">
        <v>111.7</v>
      </c>
      <c r="H29">
        <v>107.7</v>
      </c>
      <c r="I29">
        <v>113.2</v>
      </c>
      <c r="J29">
        <v>164.9</v>
      </c>
      <c r="K29">
        <v>108.3</v>
      </c>
      <c r="L29">
        <v>103.9</v>
      </c>
      <c r="M29">
        <v>108.2</v>
      </c>
      <c r="N29">
        <v>111.1</v>
      </c>
      <c r="O29">
        <v>114.9</v>
      </c>
      <c r="P29">
        <v>119.8</v>
      </c>
      <c r="Q29">
        <f t="shared" si="0"/>
        <v>1508</v>
      </c>
      <c r="R29">
        <v>112.2</v>
      </c>
      <c r="S29">
        <v>113.6</v>
      </c>
      <c r="T29">
        <v>112.3</v>
      </c>
      <c r="U29">
        <v>113.4</v>
      </c>
      <c r="V29">
        <v>339.29999999999995</v>
      </c>
      <c r="W29">
        <v>110.5</v>
      </c>
      <c r="X29">
        <v>111.6</v>
      </c>
      <c r="Y29">
        <v>110.4</v>
      </c>
      <c r="Z29">
        <f t="shared" si="1"/>
        <v>220.9</v>
      </c>
      <c r="AA29">
        <v>108.9</v>
      </c>
      <c r="AB29">
        <v>109.3</v>
      </c>
      <c r="AC29">
        <v>108.3</v>
      </c>
      <c r="AD29">
        <v>110.2</v>
      </c>
      <c r="AE29">
        <v>107.5</v>
      </c>
      <c r="AF29">
        <f t="shared" si="2"/>
        <v>216.4</v>
      </c>
      <c r="AG29">
        <v>109.1</v>
      </c>
      <c r="AH29">
        <v>115.5</v>
      </c>
    </row>
    <row r="30" spans="1:34" x14ac:dyDescent="0.35">
      <c r="A30" t="s">
        <v>30</v>
      </c>
      <c r="B30">
        <v>2013</v>
      </c>
      <c r="C30" t="s">
        <v>40</v>
      </c>
      <c r="D30">
        <v>118.9</v>
      </c>
      <c r="E30">
        <v>118.1</v>
      </c>
      <c r="F30">
        <v>114.5</v>
      </c>
      <c r="G30">
        <v>110.4</v>
      </c>
      <c r="H30">
        <v>102.3</v>
      </c>
      <c r="I30">
        <v>106.2</v>
      </c>
      <c r="J30">
        <v>183.5</v>
      </c>
      <c r="K30">
        <v>105.3</v>
      </c>
      <c r="L30">
        <v>100.2</v>
      </c>
      <c r="M30">
        <v>109.6</v>
      </c>
      <c r="N30">
        <v>111.4</v>
      </c>
      <c r="O30">
        <v>116</v>
      </c>
      <c r="P30">
        <v>120.8</v>
      </c>
      <c r="Q30">
        <f t="shared" si="0"/>
        <v>1517.1999999999998</v>
      </c>
      <c r="R30">
        <v>113.5</v>
      </c>
      <c r="S30">
        <v>112.5</v>
      </c>
      <c r="T30">
        <v>109.7</v>
      </c>
      <c r="U30">
        <v>112</v>
      </c>
      <c r="V30">
        <v>334.2</v>
      </c>
      <c r="W30">
        <v>110.5</v>
      </c>
      <c r="X30">
        <v>109.7</v>
      </c>
      <c r="Y30">
        <v>110.2</v>
      </c>
      <c r="Z30">
        <f t="shared" si="1"/>
        <v>220.7</v>
      </c>
      <c r="AA30">
        <v>108.2</v>
      </c>
      <c r="AB30">
        <v>109.7</v>
      </c>
      <c r="AC30">
        <v>108</v>
      </c>
      <c r="AD30">
        <v>111.3</v>
      </c>
      <c r="AE30">
        <v>107.3</v>
      </c>
      <c r="AF30">
        <f t="shared" si="2"/>
        <v>215.5</v>
      </c>
      <c r="AG30">
        <v>109.4</v>
      </c>
      <c r="AH30">
        <v>114</v>
      </c>
    </row>
    <row r="31" spans="1:34" x14ac:dyDescent="0.35">
      <c r="A31" t="s">
        <v>31</v>
      </c>
      <c r="B31">
        <v>2013</v>
      </c>
      <c r="C31" t="s">
        <v>40</v>
      </c>
      <c r="D31">
        <v>117.1</v>
      </c>
      <c r="E31">
        <v>116.3</v>
      </c>
      <c r="F31">
        <v>113.3</v>
      </c>
      <c r="G31">
        <v>111.2</v>
      </c>
      <c r="H31">
        <v>105.7</v>
      </c>
      <c r="I31">
        <v>109.9</v>
      </c>
      <c r="J31">
        <v>171.2</v>
      </c>
      <c r="K31">
        <v>107.3</v>
      </c>
      <c r="L31">
        <v>102.7</v>
      </c>
      <c r="M31">
        <v>108.7</v>
      </c>
      <c r="N31">
        <v>111.2</v>
      </c>
      <c r="O31">
        <v>115.4</v>
      </c>
      <c r="P31">
        <v>120.2</v>
      </c>
      <c r="Q31">
        <f t="shared" si="0"/>
        <v>1510.2000000000003</v>
      </c>
      <c r="R31">
        <v>112.5</v>
      </c>
      <c r="S31">
        <v>113.2</v>
      </c>
      <c r="T31">
        <v>111.2</v>
      </c>
      <c r="U31">
        <v>112.8</v>
      </c>
      <c r="V31">
        <v>337.2</v>
      </c>
      <c r="W31">
        <v>110.5</v>
      </c>
      <c r="X31">
        <v>110.9</v>
      </c>
      <c r="Y31">
        <v>110.3</v>
      </c>
      <c r="Z31">
        <f t="shared" si="1"/>
        <v>220.8</v>
      </c>
      <c r="AA31">
        <v>108.6</v>
      </c>
      <c r="AB31">
        <v>109.5</v>
      </c>
      <c r="AC31">
        <v>108.1</v>
      </c>
      <c r="AD31">
        <v>110.8</v>
      </c>
      <c r="AE31">
        <v>107.4</v>
      </c>
      <c r="AF31">
        <f t="shared" si="2"/>
        <v>216</v>
      </c>
      <c r="AG31">
        <v>109.2</v>
      </c>
      <c r="AH31">
        <v>114.8</v>
      </c>
    </row>
    <row r="32" spans="1:34" x14ac:dyDescent="0.35">
      <c r="A32" t="s">
        <v>28</v>
      </c>
      <c r="B32">
        <v>2013</v>
      </c>
      <c r="C32" t="s">
        <v>41</v>
      </c>
      <c r="D32">
        <v>117.3</v>
      </c>
      <c r="E32">
        <v>114.9</v>
      </c>
      <c r="F32">
        <v>116.2</v>
      </c>
      <c r="G32">
        <v>112.8</v>
      </c>
      <c r="H32">
        <v>108.9</v>
      </c>
      <c r="I32">
        <v>116.6</v>
      </c>
      <c r="J32">
        <v>178.1</v>
      </c>
      <c r="K32">
        <v>109.1</v>
      </c>
      <c r="L32">
        <v>103.6</v>
      </c>
      <c r="M32">
        <v>109</v>
      </c>
      <c r="N32">
        <v>111.8</v>
      </c>
      <c r="O32">
        <v>116</v>
      </c>
      <c r="P32">
        <v>122.5</v>
      </c>
      <c r="Q32">
        <f t="shared" si="0"/>
        <v>1536.8</v>
      </c>
      <c r="R32">
        <v>112.8</v>
      </c>
      <c r="S32">
        <v>114.6</v>
      </c>
      <c r="T32">
        <v>113.1</v>
      </c>
      <c r="U32">
        <v>114.4</v>
      </c>
      <c r="V32">
        <v>342.1</v>
      </c>
      <c r="W32">
        <v>111.1</v>
      </c>
      <c r="X32">
        <v>112.6</v>
      </c>
      <c r="Y32">
        <v>111.3</v>
      </c>
      <c r="Z32">
        <f t="shared" si="1"/>
        <v>222.39999999999998</v>
      </c>
      <c r="AA32">
        <v>109.7</v>
      </c>
      <c r="AB32">
        <v>109.6</v>
      </c>
      <c r="AC32">
        <v>108.7</v>
      </c>
      <c r="AD32">
        <v>111</v>
      </c>
      <c r="AE32">
        <v>108.2</v>
      </c>
      <c r="AF32">
        <f t="shared" si="2"/>
        <v>217.9</v>
      </c>
      <c r="AG32">
        <v>109.8</v>
      </c>
      <c r="AH32">
        <v>117.4</v>
      </c>
    </row>
    <row r="33" spans="1:34" x14ac:dyDescent="0.35">
      <c r="A33" t="s">
        <v>30</v>
      </c>
      <c r="B33">
        <v>2013</v>
      </c>
      <c r="C33" t="s">
        <v>42</v>
      </c>
      <c r="D33">
        <v>119.8</v>
      </c>
      <c r="E33">
        <v>116.3</v>
      </c>
      <c r="F33">
        <v>122.6</v>
      </c>
      <c r="G33">
        <v>112</v>
      </c>
      <c r="H33">
        <v>103.2</v>
      </c>
      <c r="I33">
        <v>110</v>
      </c>
      <c r="J33">
        <v>192.8</v>
      </c>
      <c r="K33">
        <v>106.3</v>
      </c>
      <c r="L33">
        <v>99.5</v>
      </c>
      <c r="M33">
        <v>110.3</v>
      </c>
      <c r="N33">
        <v>111.8</v>
      </c>
      <c r="O33">
        <v>117.1</v>
      </c>
      <c r="P33">
        <v>122.9</v>
      </c>
      <c r="Q33">
        <f t="shared" si="0"/>
        <v>1544.6</v>
      </c>
      <c r="R33">
        <v>114.1</v>
      </c>
      <c r="S33">
        <v>113.5</v>
      </c>
      <c r="T33">
        <v>110.3</v>
      </c>
      <c r="U33">
        <v>113</v>
      </c>
      <c r="V33">
        <v>336.8</v>
      </c>
      <c r="W33">
        <v>111.1</v>
      </c>
      <c r="X33">
        <v>110</v>
      </c>
      <c r="Y33">
        <v>110.9</v>
      </c>
      <c r="Z33">
        <f t="shared" si="1"/>
        <v>222</v>
      </c>
      <c r="AA33">
        <v>108.6</v>
      </c>
      <c r="AB33">
        <v>109.5</v>
      </c>
      <c r="AC33">
        <v>108.5</v>
      </c>
      <c r="AD33">
        <v>111.3</v>
      </c>
      <c r="AE33">
        <v>107.9</v>
      </c>
      <c r="AF33">
        <f t="shared" si="2"/>
        <v>216.5</v>
      </c>
      <c r="AG33">
        <v>109.6</v>
      </c>
      <c r="AH33">
        <v>115</v>
      </c>
    </row>
    <row r="34" spans="1:34" x14ac:dyDescent="0.35">
      <c r="A34" t="s">
        <v>31</v>
      </c>
      <c r="B34">
        <v>2013</v>
      </c>
      <c r="C34" t="s">
        <v>42</v>
      </c>
      <c r="D34">
        <v>118.1</v>
      </c>
      <c r="E34">
        <v>115.4</v>
      </c>
      <c r="F34">
        <v>118.7</v>
      </c>
      <c r="G34">
        <v>112.5</v>
      </c>
      <c r="H34">
        <v>106.8</v>
      </c>
      <c r="I34">
        <v>113.5</v>
      </c>
      <c r="J34">
        <v>183.1</v>
      </c>
      <c r="K34">
        <v>108.2</v>
      </c>
      <c r="L34">
        <v>102.2</v>
      </c>
      <c r="M34">
        <v>109.4</v>
      </c>
      <c r="N34">
        <v>111.8</v>
      </c>
      <c r="O34">
        <v>116.5</v>
      </c>
      <c r="P34">
        <v>122.6</v>
      </c>
      <c r="Q34">
        <f t="shared" si="0"/>
        <v>1538.8</v>
      </c>
      <c r="R34">
        <v>113.1</v>
      </c>
      <c r="S34">
        <v>114.2</v>
      </c>
      <c r="T34">
        <v>111.9</v>
      </c>
      <c r="U34">
        <v>113.8</v>
      </c>
      <c r="V34">
        <v>339.90000000000003</v>
      </c>
      <c r="W34">
        <v>111.1</v>
      </c>
      <c r="X34">
        <v>111.6</v>
      </c>
      <c r="Y34">
        <v>111.1</v>
      </c>
      <c r="Z34">
        <f t="shared" si="1"/>
        <v>222.2</v>
      </c>
      <c r="AA34">
        <v>109.3</v>
      </c>
      <c r="AB34">
        <v>109.5</v>
      </c>
      <c r="AC34">
        <v>108.6</v>
      </c>
      <c r="AD34">
        <v>111.2</v>
      </c>
      <c r="AE34">
        <v>108.1</v>
      </c>
      <c r="AF34">
        <f t="shared" si="2"/>
        <v>217.39999999999998</v>
      </c>
      <c r="AG34">
        <v>109.7</v>
      </c>
      <c r="AH34">
        <v>116.3</v>
      </c>
    </row>
    <row r="35" spans="1:34" x14ac:dyDescent="0.35">
      <c r="A35" t="s">
        <v>28</v>
      </c>
      <c r="B35">
        <v>2013</v>
      </c>
      <c r="C35" t="s">
        <v>43</v>
      </c>
      <c r="D35">
        <v>118.4</v>
      </c>
      <c r="E35">
        <v>115.9</v>
      </c>
      <c r="F35">
        <v>120.4</v>
      </c>
      <c r="G35">
        <v>113.8</v>
      </c>
      <c r="H35">
        <v>109.5</v>
      </c>
      <c r="I35">
        <v>115.5</v>
      </c>
      <c r="J35">
        <v>145.69999999999999</v>
      </c>
      <c r="K35">
        <v>109.5</v>
      </c>
      <c r="L35">
        <v>102.9</v>
      </c>
      <c r="M35">
        <v>109.8</v>
      </c>
      <c r="N35">
        <v>112.1</v>
      </c>
      <c r="O35">
        <v>116.8</v>
      </c>
      <c r="P35">
        <v>118.7</v>
      </c>
      <c r="Q35">
        <f t="shared" si="0"/>
        <v>1509</v>
      </c>
      <c r="R35">
        <v>113.6</v>
      </c>
      <c r="S35">
        <v>115.8</v>
      </c>
      <c r="T35">
        <v>114</v>
      </c>
      <c r="U35">
        <v>115.5</v>
      </c>
      <c r="V35">
        <v>345.3</v>
      </c>
      <c r="W35">
        <v>110.7</v>
      </c>
      <c r="X35">
        <v>112.8</v>
      </c>
      <c r="Y35">
        <v>112.1</v>
      </c>
      <c r="Z35">
        <f t="shared" si="1"/>
        <v>222.8</v>
      </c>
      <c r="AA35">
        <v>110.1</v>
      </c>
      <c r="AB35">
        <v>109.9</v>
      </c>
      <c r="AC35">
        <v>109.2</v>
      </c>
      <c r="AD35">
        <v>111.6</v>
      </c>
      <c r="AE35">
        <v>108.1</v>
      </c>
      <c r="AF35">
        <f t="shared" si="2"/>
        <v>218.2</v>
      </c>
      <c r="AG35">
        <v>110.1</v>
      </c>
      <c r="AH35">
        <v>115.5</v>
      </c>
    </row>
    <row r="36" spans="1:34" x14ac:dyDescent="0.35">
      <c r="A36" t="s">
        <v>30</v>
      </c>
      <c r="B36">
        <v>2013</v>
      </c>
      <c r="C36" t="s">
        <v>43</v>
      </c>
      <c r="D36">
        <v>120.5</v>
      </c>
      <c r="E36">
        <v>118.1</v>
      </c>
      <c r="F36">
        <v>128.5</v>
      </c>
      <c r="G36">
        <v>112.8</v>
      </c>
      <c r="H36">
        <v>103.4</v>
      </c>
      <c r="I36">
        <v>110.7</v>
      </c>
      <c r="J36">
        <v>144.80000000000001</v>
      </c>
      <c r="K36">
        <v>107.1</v>
      </c>
      <c r="L36">
        <v>98.6</v>
      </c>
      <c r="M36">
        <v>111.9</v>
      </c>
      <c r="N36">
        <v>112.1</v>
      </c>
      <c r="O36">
        <v>118.1</v>
      </c>
      <c r="P36">
        <v>117.8</v>
      </c>
      <c r="Q36">
        <f t="shared" si="0"/>
        <v>1504.4</v>
      </c>
      <c r="R36">
        <v>115</v>
      </c>
      <c r="S36">
        <v>114.2</v>
      </c>
      <c r="T36">
        <v>110.9</v>
      </c>
      <c r="U36">
        <v>113.7</v>
      </c>
      <c r="V36">
        <v>338.8</v>
      </c>
      <c r="W36">
        <v>110.7</v>
      </c>
      <c r="X36">
        <v>110.4</v>
      </c>
      <c r="Y36">
        <v>111.3</v>
      </c>
      <c r="Z36">
        <f t="shared" si="1"/>
        <v>222</v>
      </c>
      <c r="AA36">
        <v>109</v>
      </c>
      <c r="AB36">
        <v>109.7</v>
      </c>
      <c r="AC36">
        <v>108.9</v>
      </c>
      <c r="AD36">
        <v>111.4</v>
      </c>
      <c r="AE36">
        <v>107.7</v>
      </c>
      <c r="AF36">
        <f t="shared" si="2"/>
        <v>216.7</v>
      </c>
      <c r="AG36">
        <v>109.8</v>
      </c>
      <c r="AH36">
        <v>113.3</v>
      </c>
    </row>
    <row r="37" spans="1:34" x14ac:dyDescent="0.35">
      <c r="A37" t="s">
        <v>31</v>
      </c>
      <c r="B37">
        <v>2013</v>
      </c>
      <c r="C37" t="s">
        <v>43</v>
      </c>
      <c r="D37">
        <v>119.1</v>
      </c>
      <c r="E37">
        <v>116.7</v>
      </c>
      <c r="F37">
        <v>123.5</v>
      </c>
      <c r="G37">
        <v>113.4</v>
      </c>
      <c r="H37">
        <v>107.3</v>
      </c>
      <c r="I37">
        <v>113.3</v>
      </c>
      <c r="J37">
        <v>145.4</v>
      </c>
      <c r="K37">
        <v>108.7</v>
      </c>
      <c r="L37">
        <v>101.5</v>
      </c>
      <c r="M37">
        <v>110.5</v>
      </c>
      <c r="N37">
        <v>112.1</v>
      </c>
      <c r="O37">
        <v>117.4</v>
      </c>
      <c r="P37">
        <v>118.4</v>
      </c>
      <c r="Q37">
        <f t="shared" si="0"/>
        <v>1507.3000000000002</v>
      </c>
      <c r="R37">
        <v>114</v>
      </c>
      <c r="S37">
        <v>115.2</v>
      </c>
      <c r="T37">
        <v>112.7</v>
      </c>
      <c r="U37">
        <v>114.8</v>
      </c>
      <c r="V37">
        <v>342.7</v>
      </c>
      <c r="W37">
        <v>110.7</v>
      </c>
      <c r="X37">
        <v>111.9</v>
      </c>
      <c r="Y37">
        <v>111.7</v>
      </c>
      <c r="Z37">
        <f t="shared" si="1"/>
        <v>222.4</v>
      </c>
      <c r="AA37">
        <v>109.7</v>
      </c>
      <c r="AB37">
        <v>109.8</v>
      </c>
      <c r="AC37">
        <v>109</v>
      </c>
      <c r="AD37">
        <v>111.5</v>
      </c>
      <c r="AE37">
        <v>107.9</v>
      </c>
      <c r="AF37">
        <f t="shared" si="2"/>
        <v>217.60000000000002</v>
      </c>
      <c r="AG37">
        <v>110</v>
      </c>
      <c r="AH37">
        <v>114.5</v>
      </c>
    </row>
    <row r="38" spans="1:34" x14ac:dyDescent="0.35">
      <c r="A38" t="s">
        <v>28</v>
      </c>
      <c r="B38">
        <v>2014</v>
      </c>
      <c r="C38" t="s">
        <v>29</v>
      </c>
      <c r="D38">
        <v>118.9</v>
      </c>
      <c r="E38">
        <v>117.1</v>
      </c>
      <c r="F38">
        <v>120.5</v>
      </c>
      <c r="G38">
        <v>114.4</v>
      </c>
      <c r="H38">
        <v>109</v>
      </c>
      <c r="I38">
        <v>115.5</v>
      </c>
      <c r="J38">
        <v>123.9</v>
      </c>
      <c r="K38">
        <v>109.6</v>
      </c>
      <c r="L38">
        <v>101.8</v>
      </c>
      <c r="M38">
        <v>110.2</v>
      </c>
      <c r="N38">
        <v>112.4</v>
      </c>
      <c r="O38">
        <v>117.3</v>
      </c>
      <c r="P38">
        <v>116</v>
      </c>
      <c r="Q38">
        <f t="shared" si="0"/>
        <v>1486.6000000000001</v>
      </c>
      <c r="R38">
        <v>114</v>
      </c>
      <c r="S38">
        <v>116.5</v>
      </c>
      <c r="T38">
        <v>114.5</v>
      </c>
      <c r="U38">
        <v>116.2</v>
      </c>
      <c r="V38">
        <v>347.2</v>
      </c>
      <c r="W38">
        <v>111.6</v>
      </c>
      <c r="X38">
        <v>113</v>
      </c>
      <c r="Y38">
        <v>112.6</v>
      </c>
      <c r="Z38">
        <f t="shared" si="1"/>
        <v>224.2</v>
      </c>
      <c r="AA38">
        <v>110.6</v>
      </c>
      <c r="AB38">
        <v>110.5</v>
      </c>
      <c r="AC38">
        <v>109.6</v>
      </c>
      <c r="AD38">
        <v>111.8</v>
      </c>
      <c r="AE38">
        <v>108.3</v>
      </c>
      <c r="AF38">
        <f t="shared" si="2"/>
        <v>218.89999999999998</v>
      </c>
      <c r="AG38">
        <v>110.6</v>
      </c>
      <c r="AH38">
        <v>114.2</v>
      </c>
    </row>
    <row r="39" spans="1:34" x14ac:dyDescent="0.35">
      <c r="A39" t="s">
        <v>30</v>
      </c>
      <c r="B39">
        <v>2014</v>
      </c>
      <c r="C39" t="s">
        <v>29</v>
      </c>
      <c r="D39">
        <v>121.2</v>
      </c>
      <c r="E39">
        <v>122</v>
      </c>
      <c r="F39">
        <v>129.9</v>
      </c>
      <c r="G39">
        <v>113.6</v>
      </c>
      <c r="H39">
        <v>102.9</v>
      </c>
      <c r="I39">
        <v>112.1</v>
      </c>
      <c r="J39">
        <v>118.9</v>
      </c>
      <c r="K39">
        <v>107.5</v>
      </c>
      <c r="L39">
        <v>96.9</v>
      </c>
      <c r="M39">
        <v>112.7</v>
      </c>
      <c r="N39">
        <v>112.1</v>
      </c>
      <c r="O39">
        <v>119</v>
      </c>
      <c r="P39">
        <v>115.5</v>
      </c>
      <c r="Q39">
        <f t="shared" si="0"/>
        <v>1484.3</v>
      </c>
      <c r="R39">
        <v>115.7</v>
      </c>
      <c r="S39">
        <v>114.8</v>
      </c>
      <c r="T39">
        <v>111.3</v>
      </c>
      <c r="U39">
        <v>114.3</v>
      </c>
      <c r="V39">
        <v>340.4</v>
      </c>
      <c r="W39">
        <v>111.6</v>
      </c>
      <c r="X39">
        <v>111</v>
      </c>
      <c r="Y39">
        <v>111.9</v>
      </c>
      <c r="Z39">
        <f t="shared" si="1"/>
        <v>223.5</v>
      </c>
      <c r="AA39">
        <v>109.7</v>
      </c>
      <c r="AB39">
        <v>110.8</v>
      </c>
      <c r="AC39">
        <v>109.8</v>
      </c>
      <c r="AD39">
        <v>111.5</v>
      </c>
      <c r="AE39">
        <v>108</v>
      </c>
      <c r="AF39">
        <f t="shared" si="2"/>
        <v>217.7</v>
      </c>
      <c r="AG39">
        <v>110.5</v>
      </c>
      <c r="AH39">
        <v>112.9</v>
      </c>
    </row>
    <row r="40" spans="1:34" x14ac:dyDescent="0.35">
      <c r="A40" t="s">
        <v>31</v>
      </c>
      <c r="B40">
        <v>2014</v>
      </c>
      <c r="C40" t="s">
        <v>29</v>
      </c>
      <c r="D40">
        <v>119.6</v>
      </c>
      <c r="E40">
        <v>118.8</v>
      </c>
      <c r="F40">
        <v>124.1</v>
      </c>
      <c r="G40">
        <v>114.1</v>
      </c>
      <c r="H40">
        <v>106.8</v>
      </c>
      <c r="I40">
        <v>113.9</v>
      </c>
      <c r="J40">
        <v>122.2</v>
      </c>
      <c r="K40">
        <v>108.9</v>
      </c>
      <c r="L40">
        <v>100.2</v>
      </c>
      <c r="M40">
        <v>111</v>
      </c>
      <c r="N40">
        <v>112.3</v>
      </c>
      <c r="O40">
        <v>118.1</v>
      </c>
      <c r="P40">
        <v>115.8</v>
      </c>
      <c r="Q40">
        <f t="shared" si="0"/>
        <v>1485.7999999999997</v>
      </c>
      <c r="R40">
        <v>114.5</v>
      </c>
      <c r="S40">
        <v>115.8</v>
      </c>
      <c r="T40">
        <v>113.2</v>
      </c>
      <c r="U40">
        <v>115.4</v>
      </c>
      <c r="V40">
        <v>344.4</v>
      </c>
      <c r="W40">
        <v>111.6</v>
      </c>
      <c r="X40">
        <v>112.2</v>
      </c>
      <c r="Y40">
        <v>112.3</v>
      </c>
      <c r="Z40">
        <f t="shared" si="1"/>
        <v>223.89999999999998</v>
      </c>
      <c r="AA40">
        <v>110.3</v>
      </c>
      <c r="AB40">
        <v>110.7</v>
      </c>
      <c r="AC40">
        <v>109.7</v>
      </c>
      <c r="AD40">
        <v>111.6</v>
      </c>
      <c r="AE40">
        <v>108.2</v>
      </c>
      <c r="AF40">
        <f t="shared" si="2"/>
        <v>218.5</v>
      </c>
      <c r="AG40">
        <v>110.6</v>
      </c>
      <c r="AH40">
        <v>113.6</v>
      </c>
    </row>
    <row r="41" spans="1:34" x14ac:dyDescent="0.35">
      <c r="A41" t="s">
        <v>28</v>
      </c>
      <c r="B41">
        <v>2014</v>
      </c>
      <c r="C41" t="s">
        <v>32</v>
      </c>
      <c r="D41">
        <v>119.4</v>
      </c>
      <c r="E41">
        <v>117.7</v>
      </c>
      <c r="F41">
        <v>121.2</v>
      </c>
      <c r="G41">
        <v>115</v>
      </c>
      <c r="H41">
        <v>109</v>
      </c>
      <c r="I41">
        <v>116.6</v>
      </c>
      <c r="J41">
        <v>116</v>
      </c>
      <c r="K41">
        <v>109.8</v>
      </c>
      <c r="L41">
        <v>101.1</v>
      </c>
      <c r="M41">
        <v>110.4</v>
      </c>
      <c r="N41">
        <v>112.9</v>
      </c>
      <c r="O41">
        <v>117.8</v>
      </c>
      <c r="P41">
        <v>115.3</v>
      </c>
      <c r="Q41">
        <f t="shared" si="0"/>
        <v>1482.2</v>
      </c>
      <c r="R41">
        <v>114.2</v>
      </c>
      <c r="S41">
        <v>117.1</v>
      </c>
      <c r="T41">
        <v>114.5</v>
      </c>
      <c r="U41">
        <v>116.7</v>
      </c>
      <c r="V41">
        <v>348.3</v>
      </c>
      <c r="W41">
        <v>112.5</v>
      </c>
      <c r="X41">
        <v>113.2</v>
      </c>
      <c r="Y41">
        <v>112.9</v>
      </c>
      <c r="Z41">
        <f t="shared" si="1"/>
        <v>225.4</v>
      </c>
      <c r="AA41">
        <v>110.9</v>
      </c>
      <c r="AB41">
        <v>110.8</v>
      </c>
      <c r="AC41">
        <v>109.9</v>
      </c>
      <c r="AD41">
        <v>112</v>
      </c>
      <c r="AE41">
        <v>108.7</v>
      </c>
      <c r="AF41">
        <f t="shared" si="2"/>
        <v>219.60000000000002</v>
      </c>
      <c r="AG41">
        <v>110.9</v>
      </c>
      <c r="AH41">
        <v>114</v>
      </c>
    </row>
    <row r="42" spans="1:34" x14ac:dyDescent="0.35">
      <c r="A42" t="s">
        <v>30</v>
      </c>
      <c r="B42">
        <v>2014</v>
      </c>
      <c r="C42" t="s">
        <v>32</v>
      </c>
      <c r="D42">
        <v>121.9</v>
      </c>
      <c r="E42">
        <v>122</v>
      </c>
      <c r="F42">
        <v>124.5</v>
      </c>
      <c r="G42">
        <v>115.2</v>
      </c>
      <c r="H42">
        <v>102.5</v>
      </c>
      <c r="I42">
        <v>114.1</v>
      </c>
      <c r="J42">
        <v>111.5</v>
      </c>
      <c r="K42">
        <v>108.2</v>
      </c>
      <c r="L42">
        <v>95.4</v>
      </c>
      <c r="M42">
        <v>113.5</v>
      </c>
      <c r="N42">
        <v>112.1</v>
      </c>
      <c r="O42">
        <v>119.9</v>
      </c>
      <c r="P42">
        <v>115.2</v>
      </c>
      <c r="Q42">
        <f t="shared" si="0"/>
        <v>1476</v>
      </c>
      <c r="R42">
        <v>116.2</v>
      </c>
      <c r="S42">
        <v>115.3</v>
      </c>
      <c r="T42">
        <v>111.7</v>
      </c>
      <c r="U42">
        <v>114.7</v>
      </c>
      <c r="V42">
        <v>341.7</v>
      </c>
      <c r="W42">
        <v>112.5</v>
      </c>
      <c r="X42">
        <v>111.1</v>
      </c>
      <c r="Y42">
        <v>112.6</v>
      </c>
      <c r="Z42">
        <f t="shared" si="1"/>
        <v>225.1</v>
      </c>
      <c r="AA42">
        <v>110.4</v>
      </c>
      <c r="AB42">
        <v>111.3</v>
      </c>
      <c r="AC42">
        <v>110.3</v>
      </c>
      <c r="AD42">
        <v>111.6</v>
      </c>
      <c r="AE42">
        <v>108.7</v>
      </c>
      <c r="AF42">
        <f t="shared" si="2"/>
        <v>219.10000000000002</v>
      </c>
      <c r="AG42">
        <v>111</v>
      </c>
      <c r="AH42">
        <v>113.1</v>
      </c>
    </row>
    <row r="43" spans="1:34" x14ac:dyDescent="0.35">
      <c r="A43" t="s">
        <v>31</v>
      </c>
      <c r="B43">
        <v>2014</v>
      </c>
      <c r="C43" t="s">
        <v>32</v>
      </c>
      <c r="D43">
        <v>120.2</v>
      </c>
      <c r="E43">
        <v>119.2</v>
      </c>
      <c r="F43">
        <v>122.5</v>
      </c>
      <c r="G43">
        <v>115.1</v>
      </c>
      <c r="H43">
        <v>106.6</v>
      </c>
      <c r="I43">
        <v>115.4</v>
      </c>
      <c r="J43">
        <v>114.5</v>
      </c>
      <c r="K43">
        <v>109.3</v>
      </c>
      <c r="L43">
        <v>99.2</v>
      </c>
      <c r="M43">
        <v>111.4</v>
      </c>
      <c r="N43">
        <v>112.6</v>
      </c>
      <c r="O43">
        <v>118.8</v>
      </c>
      <c r="P43">
        <v>115.3</v>
      </c>
      <c r="Q43">
        <f t="shared" si="0"/>
        <v>1480.1</v>
      </c>
      <c r="R43">
        <v>114.7</v>
      </c>
      <c r="S43">
        <v>116.4</v>
      </c>
      <c r="T43">
        <v>113.3</v>
      </c>
      <c r="U43">
        <v>115.9</v>
      </c>
      <c r="V43">
        <v>345.6</v>
      </c>
      <c r="W43">
        <v>112.5</v>
      </c>
      <c r="X43">
        <v>112.4</v>
      </c>
      <c r="Y43">
        <v>112.8</v>
      </c>
      <c r="Z43">
        <f t="shared" si="1"/>
        <v>225.3</v>
      </c>
      <c r="AA43">
        <v>110.7</v>
      </c>
      <c r="AB43">
        <v>111.1</v>
      </c>
      <c r="AC43">
        <v>110.1</v>
      </c>
      <c r="AD43">
        <v>111.8</v>
      </c>
      <c r="AE43">
        <v>108.7</v>
      </c>
      <c r="AF43">
        <f t="shared" si="2"/>
        <v>219.4</v>
      </c>
      <c r="AG43">
        <v>110.9</v>
      </c>
      <c r="AH43">
        <v>113.6</v>
      </c>
    </row>
    <row r="44" spans="1:34" x14ac:dyDescent="0.35">
      <c r="A44" t="s">
        <v>28</v>
      </c>
      <c r="B44">
        <v>2014</v>
      </c>
      <c r="C44" t="s">
        <v>33</v>
      </c>
      <c r="D44">
        <v>120.1</v>
      </c>
      <c r="E44">
        <v>118.1</v>
      </c>
      <c r="F44">
        <v>120.7</v>
      </c>
      <c r="G44">
        <v>116.1</v>
      </c>
      <c r="H44">
        <v>109.3</v>
      </c>
      <c r="I44">
        <v>119.6</v>
      </c>
      <c r="J44">
        <v>117.9</v>
      </c>
      <c r="K44">
        <v>110.2</v>
      </c>
      <c r="L44">
        <v>101.2</v>
      </c>
      <c r="M44">
        <v>110.7</v>
      </c>
      <c r="N44">
        <v>113</v>
      </c>
      <c r="O44">
        <v>118.3</v>
      </c>
      <c r="P44">
        <v>116.2</v>
      </c>
      <c r="Q44">
        <f t="shared" si="0"/>
        <v>1491.4</v>
      </c>
      <c r="R44">
        <v>114.6</v>
      </c>
      <c r="S44">
        <v>117.5</v>
      </c>
      <c r="T44">
        <v>114.9</v>
      </c>
      <c r="U44">
        <v>117.2</v>
      </c>
      <c r="V44">
        <v>349.6</v>
      </c>
      <c r="W44">
        <v>113.2</v>
      </c>
      <c r="X44">
        <v>113.4</v>
      </c>
      <c r="Y44">
        <v>113.4</v>
      </c>
      <c r="Z44">
        <f t="shared" si="1"/>
        <v>226.60000000000002</v>
      </c>
      <c r="AA44">
        <v>111.4</v>
      </c>
      <c r="AB44">
        <v>111.2</v>
      </c>
      <c r="AC44">
        <v>110.2</v>
      </c>
      <c r="AD44">
        <v>112.4</v>
      </c>
      <c r="AE44">
        <v>108.9</v>
      </c>
      <c r="AF44">
        <f t="shared" si="2"/>
        <v>220.3</v>
      </c>
      <c r="AG44">
        <v>111.3</v>
      </c>
      <c r="AH44">
        <v>114.6</v>
      </c>
    </row>
    <row r="45" spans="1:34" x14ac:dyDescent="0.35">
      <c r="A45" t="s">
        <v>30</v>
      </c>
      <c r="B45">
        <v>2014</v>
      </c>
      <c r="C45" t="s">
        <v>33</v>
      </c>
      <c r="D45">
        <v>122.1</v>
      </c>
      <c r="E45">
        <v>121.4</v>
      </c>
      <c r="F45">
        <v>121.5</v>
      </c>
      <c r="G45">
        <v>116.2</v>
      </c>
      <c r="H45">
        <v>102.8</v>
      </c>
      <c r="I45">
        <v>117.7</v>
      </c>
      <c r="J45">
        <v>113.3</v>
      </c>
      <c r="K45">
        <v>108.9</v>
      </c>
      <c r="L45">
        <v>96.3</v>
      </c>
      <c r="M45">
        <v>114.1</v>
      </c>
      <c r="N45">
        <v>112.2</v>
      </c>
      <c r="O45">
        <v>120.5</v>
      </c>
      <c r="P45">
        <v>116</v>
      </c>
      <c r="Q45">
        <f t="shared" si="0"/>
        <v>1483</v>
      </c>
      <c r="R45">
        <v>116.7</v>
      </c>
      <c r="S45">
        <v>115.8</v>
      </c>
      <c r="T45">
        <v>112.1</v>
      </c>
      <c r="U45">
        <v>115.2</v>
      </c>
      <c r="V45">
        <v>343.09999999999997</v>
      </c>
      <c r="W45">
        <v>113.2</v>
      </c>
      <c r="X45">
        <v>110.9</v>
      </c>
      <c r="Y45">
        <v>113</v>
      </c>
      <c r="Z45">
        <f t="shared" si="1"/>
        <v>226.2</v>
      </c>
      <c r="AA45">
        <v>110.8</v>
      </c>
      <c r="AB45">
        <v>111.6</v>
      </c>
      <c r="AC45">
        <v>110.9</v>
      </c>
      <c r="AD45">
        <v>111.8</v>
      </c>
      <c r="AE45">
        <v>109.2</v>
      </c>
      <c r="AF45">
        <f t="shared" si="2"/>
        <v>220</v>
      </c>
      <c r="AG45">
        <v>111.4</v>
      </c>
      <c r="AH45">
        <v>113.7</v>
      </c>
    </row>
    <row r="46" spans="1:34" x14ac:dyDescent="0.35">
      <c r="A46" t="s">
        <v>31</v>
      </c>
      <c r="B46">
        <v>2014</v>
      </c>
      <c r="C46" t="s">
        <v>33</v>
      </c>
      <c r="D46">
        <v>120.7</v>
      </c>
      <c r="E46">
        <v>119.3</v>
      </c>
      <c r="F46">
        <v>121</v>
      </c>
      <c r="G46">
        <v>116.1</v>
      </c>
      <c r="H46">
        <v>106.9</v>
      </c>
      <c r="I46">
        <v>118.7</v>
      </c>
      <c r="J46">
        <v>116.3</v>
      </c>
      <c r="K46">
        <v>109.8</v>
      </c>
      <c r="L46">
        <v>99.6</v>
      </c>
      <c r="M46">
        <v>111.8</v>
      </c>
      <c r="N46">
        <v>112.7</v>
      </c>
      <c r="O46">
        <v>119.3</v>
      </c>
      <c r="P46">
        <v>116.1</v>
      </c>
      <c r="Q46">
        <f t="shared" si="0"/>
        <v>1488.2999999999997</v>
      </c>
      <c r="R46">
        <v>115.2</v>
      </c>
      <c r="S46">
        <v>116.8</v>
      </c>
      <c r="T46">
        <v>113.7</v>
      </c>
      <c r="U46">
        <v>116.4</v>
      </c>
      <c r="V46">
        <v>346.9</v>
      </c>
      <c r="W46">
        <v>113.2</v>
      </c>
      <c r="X46">
        <v>112.5</v>
      </c>
      <c r="Y46">
        <v>113.2</v>
      </c>
      <c r="Z46">
        <f t="shared" si="1"/>
        <v>226.4</v>
      </c>
      <c r="AA46">
        <v>111.2</v>
      </c>
      <c r="AB46">
        <v>111.4</v>
      </c>
      <c r="AC46">
        <v>110.6</v>
      </c>
      <c r="AD46">
        <v>112</v>
      </c>
      <c r="AE46">
        <v>109</v>
      </c>
      <c r="AF46">
        <f t="shared" si="2"/>
        <v>220.2</v>
      </c>
      <c r="AG46">
        <v>111.3</v>
      </c>
      <c r="AH46">
        <v>114.2</v>
      </c>
    </row>
    <row r="47" spans="1:34" x14ac:dyDescent="0.35">
      <c r="A47" t="s">
        <v>28</v>
      </c>
      <c r="B47">
        <v>2014</v>
      </c>
      <c r="C47" t="s">
        <v>34</v>
      </c>
      <c r="D47">
        <v>120.2</v>
      </c>
      <c r="E47">
        <v>118.9</v>
      </c>
      <c r="F47">
        <v>118.1</v>
      </c>
      <c r="G47">
        <v>117</v>
      </c>
      <c r="H47">
        <v>109.7</v>
      </c>
      <c r="I47">
        <v>125.5</v>
      </c>
      <c r="J47">
        <v>120.5</v>
      </c>
      <c r="K47">
        <v>111</v>
      </c>
      <c r="L47">
        <v>102.6</v>
      </c>
      <c r="M47">
        <v>111.2</v>
      </c>
      <c r="N47">
        <v>113.5</v>
      </c>
      <c r="O47">
        <v>118.7</v>
      </c>
      <c r="P47">
        <v>117.2</v>
      </c>
      <c r="Q47">
        <f t="shared" si="0"/>
        <v>1504.1000000000001</v>
      </c>
      <c r="R47">
        <v>115.4</v>
      </c>
      <c r="S47">
        <v>118.1</v>
      </c>
      <c r="T47">
        <v>116.1</v>
      </c>
      <c r="U47">
        <v>117.8</v>
      </c>
      <c r="V47">
        <v>352</v>
      </c>
      <c r="W47">
        <v>113.9</v>
      </c>
      <c r="X47">
        <v>113.4</v>
      </c>
      <c r="Y47">
        <v>113.7</v>
      </c>
      <c r="Z47">
        <f t="shared" si="1"/>
        <v>227.60000000000002</v>
      </c>
      <c r="AA47">
        <v>111.8</v>
      </c>
      <c r="AB47">
        <v>111.2</v>
      </c>
      <c r="AC47">
        <v>110.5</v>
      </c>
      <c r="AD47">
        <v>113</v>
      </c>
      <c r="AE47">
        <v>108.9</v>
      </c>
      <c r="AF47">
        <f t="shared" si="2"/>
        <v>220.7</v>
      </c>
      <c r="AG47">
        <v>111.5</v>
      </c>
      <c r="AH47">
        <v>115.4</v>
      </c>
    </row>
    <row r="48" spans="1:34" x14ac:dyDescent="0.35">
      <c r="A48" t="s">
        <v>30</v>
      </c>
      <c r="B48">
        <v>2014</v>
      </c>
      <c r="C48" t="s">
        <v>34</v>
      </c>
      <c r="D48">
        <v>122.5</v>
      </c>
      <c r="E48">
        <v>121.7</v>
      </c>
      <c r="F48">
        <v>113.3</v>
      </c>
      <c r="G48">
        <v>117</v>
      </c>
      <c r="H48">
        <v>103.1</v>
      </c>
      <c r="I48">
        <v>126.7</v>
      </c>
      <c r="J48">
        <v>121.2</v>
      </c>
      <c r="K48">
        <v>111</v>
      </c>
      <c r="L48">
        <v>100.3</v>
      </c>
      <c r="M48">
        <v>115.3</v>
      </c>
      <c r="N48">
        <v>112.7</v>
      </c>
      <c r="O48">
        <v>121</v>
      </c>
      <c r="P48">
        <v>118.2</v>
      </c>
      <c r="Q48">
        <f t="shared" si="0"/>
        <v>1504.0000000000002</v>
      </c>
      <c r="R48">
        <v>117.6</v>
      </c>
      <c r="S48">
        <v>116.3</v>
      </c>
      <c r="T48">
        <v>112.5</v>
      </c>
      <c r="U48">
        <v>115.7</v>
      </c>
      <c r="V48">
        <v>344.5</v>
      </c>
      <c r="W48">
        <v>113.9</v>
      </c>
      <c r="X48">
        <v>110.9</v>
      </c>
      <c r="Y48">
        <v>113.4</v>
      </c>
      <c r="Z48">
        <f t="shared" si="1"/>
        <v>227.3</v>
      </c>
      <c r="AA48">
        <v>111</v>
      </c>
      <c r="AB48">
        <v>111.2</v>
      </c>
      <c r="AC48">
        <v>111.2</v>
      </c>
      <c r="AD48">
        <v>112.5</v>
      </c>
      <c r="AE48">
        <v>109.1</v>
      </c>
      <c r="AF48">
        <f t="shared" si="2"/>
        <v>220.1</v>
      </c>
      <c r="AG48">
        <v>111.4</v>
      </c>
      <c r="AH48">
        <v>114.7</v>
      </c>
    </row>
    <row r="49" spans="1:34" x14ac:dyDescent="0.35">
      <c r="A49" t="s">
        <v>31</v>
      </c>
      <c r="B49">
        <v>2014</v>
      </c>
      <c r="C49" t="s">
        <v>34</v>
      </c>
      <c r="D49">
        <v>120.9</v>
      </c>
      <c r="E49">
        <v>119.9</v>
      </c>
      <c r="F49">
        <v>116.2</v>
      </c>
      <c r="G49">
        <v>117</v>
      </c>
      <c r="H49">
        <v>107.3</v>
      </c>
      <c r="I49">
        <v>126.1</v>
      </c>
      <c r="J49">
        <v>120.7</v>
      </c>
      <c r="K49">
        <v>111</v>
      </c>
      <c r="L49">
        <v>101.8</v>
      </c>
      <c r="M49">
        <v>112.6</v>
      </c>
      <c r="N49">
        <v>113.2</v>
      </c>
      <c r="O49">
        <v>119.8</v>
      </c>
      <c r="P49">
        <v>117.6</v>
      </c>
      <c r="Q49">
        <f t="shared" si="0"/>
        <v>1504.1</v>
      </c>
      <c r="R49">
        <v>116</v>
      </c>
      <c r="S49">
        <v>117.4</v>
      </c>
      <c r="T49">
        <v>114.6</v>
      </c>
      <c r="U49">
        <v>117</v>
      </c>
      <c r="V49">
        <v>349</v>
      </c>
      <c r="W49">
        <v>113.9</v>
      </c>
      <c r="X49">
        <v>112.5</v>
      </c>
      <c r="Y49">
        <v>113.6</v>
      </c>
      <c r="Z49">
        <f t="shared" si="1"/>
        <v>227.5</v>
      </c>
      <c r="AA49">
        <v>111.5</v>
      </c>
      <c r="AB49">
        <v>111.2</v>
      </c>
      <c r="AC49">
        <v>110.9</v>
      </c>
      <c r="AD49">
        <v>112.7</v>
      </c>
      <c r="AE49">
        <v>109</v>
      </c>
      <c r="AF49">
        <f t="shared" si="2"/>
        <v>220.5</v>
      </c>
      <c r="AG49">
        <v>111.5</v>
      </c>
      <c r="AH49">
        <v>115.1</v>
      </c>
    </row>
    <row r="50" spans="1:34" x14ac:dyDescent="0.35">
      <c r="A50" t="s">
        <v>28</v>
      </c>
      <c r="B50">
        <v>2014</v>
      </c>
      <c r="C50" t="s">
        <v>35</v>
      </c>
      <c r="D50">
        <v>120.3</v>
      </c>
      <c r="E50">
        <v>120.2</v>
      </c>
      <c r="F50">
        <v>116.9</v>
      </c>
      <c r="G50">
        <v>118</v>
      </c>
      <c r="H50">
        <v>110.1</v>
      </c>
      <c r="I50">
        <v>126.3</v>
      </c>
      <c r="J50">
        <v>123.9</v>
      </c>
      <c r="K50">
        <v>111.5</v>
      </c>
      <c r="L50">
        <v>103.5</v>
      </c>
      <c r="M50">
        <v>111.6</v>
      </c>
      <c r="N50">
        <v>114.2</v>
      </c>
      <c r="O50">
        <v>119.2</v>
      </c>
      <c r="P50">
        <v>118.2</v>
      </c>
      <c r="Q50">
        <f t="shared" si="0"/>
        <v>1513.8999999999999</v>
      </c>
      <c r="R50">
        <v>116.3</v>
      </c>
      <c r="S50">
        <v>118.7</v>
      </c>
      <c r="T50">
        <v>116.8</v>
      </c>
      <c r="U50">
        <v>118.5</v>
      </c>
      <c r="V50">
        <v>354</v>
      </c>
      <c r="W50">
        <v>114.3</v>
      </c>
      <c r="X50">
        <v>113.4</v>
      </c>
      <c r="Y50">
        <v>114.1</v>
      </c>
      <c r="Z50">
        <f t="shared" si="1"/>
        <v>228.39999999999998</v>
      </c>
      <c r="AA50">
        <v>112.1</v>
      </c>
      <c r="AB50">
        <v>111.4</v>
      </c>
      <c r="AC50">
        <v>110.9</v>
      </c>
      <c r="AD50">
        <v>113.1</v>
      </c>
      <c r="AE50">
        <v>108.9</v>
      </c>
      <c r="AF50">
        <f t="shared" si="2"/>
        <v>221</v>
      </c>
      <c r="AG50">
        <v>111.8</v>
      </c>
      <c r="AH50">
        <v>116</v>
      </c>
    </row>
    <row r="51" spans="1:34" x14ac:dyDescent="0.35">
      <c r="A51" t="s">
        <v>30</v>
      </c>
      <c r="B51">
        <v>2014</v>
      </c>
      <c r="C51" t="s">
        <v>35</v>
      </c>
      <c r="D51">
        <v>122.7</v>
      </c>
      <c r="E51">
        <v>124.1</v>
      </c>
      <c r="F51">
        <v>114.2</v>
      </c>
      <c r="G51">
        <v>119.1</v>
      </c>
      <c r="H51">
        <v>103.5</v>
      </c>
      <c r="I51">
        <v>129.19999999999999</v>
      </c>
      <c r="J51">
        <v>127</v>
      </c>
      <c r="K51">
        <v>112.6</v>
      </c>
      <c r="L51">
        <v>101.3</v>
      </c>
      <c r="M51">
        <v>117</v>
      </c>
      <c r="N51">
        <v>112.9</v>
      </c>
      <c r="O51">
        <v>121.7</v>
      </c>
      <c r="P51">
        <v>120</v>
      </c>
      <c r="Q51">
        <f t="shared" si="0"/>
        <v>1525.3000000000002</v>
      </c>
      <c r="R51">
        <v>118.3</v>
      </c>
      <c r="S51">
        <v>116.8</v>
      </c>
      <c r="T51">
        <v>112.9</v>
      </c>
      <c r="U51">
        <v>116.2</v>
      </c>
      <c r="V51">
        <v>345.9</v>
      </c>
      <c r="W51">
        <v>114.3</v>
      </c>
      <c r="X51">
        <v>111.1</v>
      </c>
      <c r="Y51">
        <v>114.1</v>
      </c>
      <c r="Z51">
        <f t="shared" si="1"/>
        <v>228.39999999999998</v>
      </c>
      <c r="AA51">
        <v>111.2</v>
      </c>
      <c r="AB51">
        <v>111.3</v>
      </c>
      <c r="AC51">
        <v>111.5</v>
      </c>
      <c r="AD51">
        <v>112.9</v>
      </c>
      <c r="AE51">
        <v>109.3</v>
      </c>
      <c r="AF51">
        <f t="shared" si="2"/>
        <v>220.5</v>
      </c>
      <c r="AG51">
        <v>111.7</v>
      </c>
      <c r="AH51">
        <v>115.6</v>
      </c>
    </row>
    <row r="52" spans="1:34" x14ac:dyDescent="0.35">
      <c r="A52" t="s">
        <v>31</v>
      </c>
      <c r="B52">
        <v>2014</v>
      </c>
      <c r="C52" t="s">
        <v>35</v>
      </c>
      <c r="D52">
        <v>121.1</v>
      </c>
      <c r="E52">
        <v>121.6</v>
      </c>
      <c r="F52">
        <v>115.9</v>
      </c>
      <c r="G52">
        <v>118.4</v>
      </c>
      <c r="H52">
        <v>107.7</v>
      </c>
      <c r="I52">
        <v>127.7</v>
      </c>
      <c r="J52">
        <v>125</v>
      </c>
      <c r="K52">
        <v>111.9</v>
      </c>
      <c r="L52">
        <v>102.8</v>
      </c>
      <c r="M52">
        <v>113.4</v>
      </c>
      <c r="N52">
        <v>113.7</v>
      </c>
      <c r="O52">
        <v>120.4</v>
      </c>
      <c r="P52">
        <v>118.9</v>
      </c>
      <c r="Q52">
        <f t="shared" si="0"/>
        <v>1518.5000000000005</v>
      </c>
      <c r="R52">
        <v>116.8</v>
      </c>
      <c r="S52">
        <v>118</v>
      </c>
      <c r="T52">
        <v>115.2</v>
      </c>
      <c r="U52">
        <v>117.6</v>
      </c>
      <c r="V52">
        <v>350.79999999999995</v>
      </c>
      <c r="W52">
        <v>114.3</v>
      </c>
      <c r="X52">
        <v>112.5</v>
      </c>
      <c r="Y52">
        <v>114.1</v>
      </c>
      <c r="Z52">
        <f t="shared" si="1"/>
        <v>228.39999999999998</v>
      </c>
      <c r="AA52">
        <v>111.8</v>
      </c>
      <c r="AB52">
        <v>111.3</v>
      </c>
      <c r="AC52">
        <v>111.2</v>
      </c>
      <c r="AD52">
        <v>113</v>
      </c>
      <c r="AE52">
        <v>109.1</v>
      </c>
      <c r="AF52">
        <f t="shared" si="2"/>
        <v>220.89999999999998</v>
      </c>
      <c r="AG52">
        <v>111.8</v>
      </c>
      <c r="AH52">
        <v>115.8</v>
      </c>
    </row>
    <row r="53" spans="1:34" x14ac:dyDescent="0.35">
      <c r="A53" t="s">
        <v>28</v>
      </c>
      <c r="B53">
        <v>2014</v>
      </c>
      <c r="C53" t="s">
        <v>36</v>
      </c>
      <c r="D53">
        <v>120.7</v>
      </c>
      <c r="E53">
        <v>121.6</v>
      </c>
      <c r="F53">
        <v>116.1</v>
      </c>
      <c r="G53">
        <v>119.3</v>
      </c>
      <c r="H53">
        <v>110.3</v>
      </c>
      <c r="I53">
        <v>125.8</v>
      </c>
      <c r="J53">
        <v>129.30000000000001</v>
      </c>
      <c r="K53">
        <v>112.2</v>
      </c>
      <c r="L53">
        <v>103.6</v>
      </c>
      <c r="M53">
        <v>112.3</v>
      </c>
      <c r="N53">
        <v>114.9</v>
      </c>
      <c r="O53">
        <v>120.1</v>
      </c>
      <c r="P53">
        <v>119.5</v>
      </c>
      <c r="Q53">
        <f t="shared" si="0"/>
        <v>1525.6999999999998</v>
      </c>
      <c r="R53">
        <v>117.3</v>
      </c>
      <c r="S53">
        <v>119.7</v>
      </c>
      <c r="T53">
        <v>117.3</v>
      </c>
      <c r="U53">
        <v>119.3</v>
      </c>
      <c r="V53">
        <v>356.3</v>
      </c>
      <c r="W53">
        <v>113.9</v>
      </c>
      <c r="X53">
        <v>114.4</v>
      </c>
      <c r="Y53">
        <v>114.9</v>
      </c>
      <c r="Z53">
        <f t="shared" si="1"/>
        <v>228.8</v>
      </c>
      <c r="AA53">
        <v>112.8</v>
      </c>
      <c r="AB53">
        <v>112.2</v>
      </c>
      <c r="AC53">
        <v>111.4</v>
      </c>
      <c r="AD53">
        <v>114.3</v>
      </c>
      <c r="AE53">
        <v>108</v>
      </c>
      <c r="AF53">
        <f t="shared" si="2"/>
        <v>220.8</v>
      </c>
      <c r="AG53">
        <v>112.3</v>
      </c>
      <c r="AH53">
        <v>117</v>
      </c>
    </row>
    <row r="54" spans="1:34" x14ac:dyDescent="0.35">
      <c r="A54" t="s">
        <v>30</v>
      </c>
      <c r="B54">
        <v>2014</v>
      </c>
      <c r="C54" t="s">
        <v>36</v>
      </c>
      <c r="D54">
        <v>123.1</v>
      </c>
      <c r="E54">
        <v>125.9</v>
      </c>
      <c r="F54">
        <v>115.4</v>
      </c>
      <c r="G54">
        <v>120.4</v>
      </c>
      <c r="H54">
        <v>103.4</v>
      </c>
      <c r="I54">
        <v>131.19999999999999</v>
      </c>
      <c r="J54">
        <v>137.5</v>
      </c>
      <c r="K54">
        <v>112.8</v>
      </c>
      <c r="L54">
        <v>101.4</v>
      </c>
      <c r="M54">
        <v>118.3</v>
      </c>
      <c r="N54">
        <v>113.2</v>
      </c>
      <c r="O54">
        <v>122.4</v>
      </c>
      <c r="P54">
        <v>122</v>
      </c>
      <c r="Q54">
        <f t="shared" si="0"/>
        <v>1547</v>
      </c>
      <c r="R54">
        <v>119</v>
      </c>
      <c r="S54">
        <v>117.4</v>
      </c>
      <c r="T54">
        <v>113.2</v>
      </c>
      <c r="U54">
        <v>116.7</v>
      </c>
      <c r="V54">
        <v>347.3</v>
      </c>
      <c r="W54">
        <v>113.9</v>
      </c>
      <c r="X54">
        <v>111.2</v>
      </c>
      <c r="Y54">
        <v>114.3</v>
      </c>
      <c r="Z54">
        <f t="shared" si="1"/>
        <v>228.2</v>
      </c>
      <c r="AA54">
        <v>111.4</v>
      </c>
      <c r="AB54">
        <v>111.5</v>
      </c>
      <c r="AC54">
        <v>111.8</v>
      </c>
      <c r="AD54">
        <v>115.1</v>
      </c>
      <c r="AE54">
        <v>108.7</v>
      </c>
      <c r="AF54">
        <f t="shared" si="2"/>
        <v>220.10000000000002</v>
      </c>
      <c r="AG54">
        <v>112.2</v>
      </c>
      <c r="AH54">
        <v>116.4</v>
      </c>
    </row>
    <row r="55" spans="1:34" x14ac:dyDescent="0.35">
      <c r="A55" t="s">
        <v>31</v>
      </c>
      <c r="B55">
        <v>2014</v>
      </c>
      <c r="C55" t="s">
        <v>36</v>
      </c>
      <c r="D55">
        <v>121.5</v>
      </c>
      <c r="E55">
        <v>123.1</v>
      </c>
      <c r="F55">
        <v>115.8</v>
      </c>
      <c r="G55">
        <v>119.7</v>
      </c>
      <c r="H55">
        <v>107.8</v>
      </c>
      <c r="I55">
        <v>128.30000000000001</v>
      </c>
      <c r="J55">
        <v>132.1</v>
      </c>
      <c r="K55">
        <v>112.4</v>
      </c>
      <c r="L55">
        <v>102.9</v>
      </c>
      <c r="M55">
        <v>114.3</v>
      </c>
      <c r="N55">
        <v>114.2</v>
      </c>
      <c r="O55">
        <v>121.2</v>
      </c>
      <c r="P55">
        <v>120.4</v>
      </c>
      <c r="Q55">
        <f t="shared" si="0"/>
        <v>1533.7000000000003</v>
      </c>
      <c r="R55">
        <v>117.8</v>
      </c>
      <c r="S55">
        <v>118.8</v>
      </c>
      <c r="T55">
        <v>115.6</v>
      </c>
      <c r="U55">
        <v>118.3</v>
      </c>
      <c r="V55">
        <v>352.7</v>
      </c>
      <c r="W55">
        <v>113.9</v>
      </c>
      <c r="X55">
        <v>113.2</v>
      </c>
      <c r="Y55">
        <v>114.6</v>
      </c>
      <c r="Z55">
        <f t="shared" si="1"/>
        <v>228.5</v>
      </c>
      <c r="AA55">
        <v>112.3</v>
      </c>
      <c r="AB55">
        <v>111.8</v>
      </c>
      <c r="AC55">
        <v>111.6</v>
      </c>
      <c r="AD55">
        <v>114.8</v>
      </c>
      <c r="AE55">
        <v>108.3</v>
      </c>
      <c r="AF55">
        <f t="shared" si="2"/>
        <v>220.6</v>
      </c>
      <c r="AG55">
        <v>112.3</v>
      </c>
      <c r="AH55">
        <v>116.7</v>
      </c>
    </row>
    <row r="56" spans="1:34" x14ac:dyDescent="0.35">
      <c r="A56" t="s">
        <v>28</v>
      </c>
      <c r="B56">
        <v>2014</v>
      </c>
      <c r="C56" t="s">
        <v>37</v>
      </c>
      <c r="D56">
        <v>121.7</v>
      </c>
      <c r="E56">
        <v>122.5</v>
      </c>
      <c r="F56">
        <v>117.7</v>
      </c>
      <c r="G56">
        <v>120.6</v>
      </c>
      <c r="H56">
        <v>110.4</v>
      </c>
      <c r="I56">
        <v>129.1</v>
      </c>
      <c r="J56">
        <v>150.1</v>
      </c>
      <c r="K56">
        <v>113.2</v>
      </c>
      <c r="L56">
        <v>104.8</v>
      </c>
      <c r="M56">
        <v>113.3</v>
      </c>
      <c r="N56">
        <v>115.6</v>
      </c>
      <c r="O56">
        <v>120.9</v>
      </c>
      <c r="P56">
        <v>123.3</v>
      </c>
      <c r="Q56">
        <f t="shared" si="0"/>
        <v>1563.2</v>
      </c>
      <c r="R56">
        <v>118</v>
      </c>
      <c r="S56">
        <v>120.7</v>
      </c>
      <c r="T56">
        <v>118.3</v>
      </c>
      <c r="U56">
        <v>120.3</v>
      </c>
      <c r="V56">
        <v>359.3</v>
      </c>
      <c r="W56">
        <v>114.8</v>
      </c>
      <c r="X56">
        <v>115.3</v>
      </c>
      <c r="Y56">
        <v>115.4</v>
      </c>
      <c r="Z56">
        <f t="shared" si="1"/>
        <v>230.2</v>
      </c>
      <c r="AA56">
        <v>113.4</v>
      </c>
      <c r="AB56">
        <v>113.2</v>
      </c>
      <c r="AC56">
        <v>111.8</v>
      </c>
      <c r="AD56">
        <v>115.5</v>
      </c>
      <c r="AE56">
        <v>108.8</v>
      </c>
      <c r="AF56">
        <f t="shared" si="2"/>
        <v>222.2</v>
      </c>
      <c r="AG56">
        <v>113.1</v>
      </c>
      <c r="AH56">
        <v>119.5</v>
      </c>
    </row>
    <row r="57" spans="1:34" x14ac:dyDescent="0.35">
      <c r="A57" t="s">
        <v>30</v>
      </c>
      <c r="B57">
        <v>2014</v>
      </c>
      <c r="C57" t="s">
        <v>37</v>
      </c>
      <c r="D57">
        <v>123.8</v>
      </c>
      <c r="E57">
        <v>126.4</v>
      </c>
      <c r="F57">
        <v>118</v>
      </c>
      <c r="G57">
        <v>121.6</v>
      </c>
      <c r="H57">
        <v>103.5</v>
      </c>
      <c r="I57">
        <v>133.69999999999999</v>
      </c>
      <c r="J57">
        <v>172.4</v>
      </c>
      <c r="K57">
        <v>113.1</v>
      </c>
      <c r="L57">
        <v>102.7</v>
      </c>
      <c r="M57">
        <v>120</v>
      </c>
      <c r="N57">
        <v>113.8</v>
      </c>
      <c r="O57">
        <v>123.4</v>
      </c>
      <c r="P57">
        <v>127.1</v>
      </c>
      <c r="Q57">
        <f t="shared" si="0"/>
        <v>1599.5</v>
      </c>
      <c r="R57">
        <v>121</v>
      </c>
      <c r="S57">
        <v>118</v>
      </c>
      <c r="T57">
        <v>113.6</v>
      </c>
      <c r="U57">
        <v>117.4</v>
      </c>
      <c r="V57">
        <v>349</v>
      </c>
      <c r="W57">
        <v>114.8</v>
      </c>
      <c r="X57">
        <v>111.6</v>
      </c>
      <c r="Y57">
        <v>114.9</v>
      </c>
      <c r="Z57">
        <f t="shared" si="1"/>
        <v>229.7</v>
      </c>
      <c r="AA57">
        <v>111.5</v>
      </c>
      <c r="AB57">
        <v>113</v>
      </c>
      <c r="AC57">
        <v>112.4</v>
      </c>
      <c r="AD57">
        <v>117.8</v>
      </c>
      <c r="AE57">
        <v>109.7</v>
      </c>
      <c r="AF57">
        <f t="shared" si="2"/>
        <v>221.2</v>
      </c>
      <c r="AG57">
        <v>113.5</v>
      </c>
      <c r="AH57">
        <v>118.9</v>
      </c>
    </row>
    <row r="58" spans="1:34" x14ac:dyDescent="0.35">
      <c r="A58" t="s">
        <v>31</v>
      </c>
      <c r="B58">
        <v>2014</v>
      </c>
      <c r="C58" t="s">
        <v>37</v>
      </c>
      <c r="D58">
        <v>122.4</v>
      </c>
      <c r="E58">
        <v>123.9</v>
      </c>
      <c r="F58">
        <v>117.8</v>
      </c>
      <c r="G58">
        <v>121</v>
      </c>
      <c r="H58">
        <v>107.9</v>
      </c>
      <c r="I58">
        <v>131.19999999999999</v>
      </c>
      <c r="J58">
        <v>157.69999999999999</v>
      </c>
      <c r="K58">
        <v>113.2</v>
      </c>
      <c r="L58">
        <v>104.1</v>
      </c>
      <c r="M58">
        <v>115.5</v>
      </c>
      <c r="N58">
        <v>114.8</v>
      </c>
      <c r="O58">
        <v>122.1</v>
      </c>
      <c r="P58">
        <v>124.7</v>
      </c>
      <c r="Q58">
        <f t="shared" si="0"/>
        <v>1576.3</v>
      </c>
      <c r="R58">
        <v>118.8</v>
      </c>
      <c r="S58">
        <v>119.6</v>
      </c>
      <c r="T58">
        <v>116.3</v>
      </c>
      <c r="U58">
        <v>119.1</v>
      </c>
      <c r="V58">
        <v>355</v>
      </c>
      <c r="W58">
        <v>114.8</v>
      </c>
      <c r="X58">
        <v>113.9</v>
      </c>
      <c r="Y58">
        <v>115.2</v>
      </c>
      <c r="Z58">
        <f t="shared" si="1"/>
        <v>230</v>
      </c>
      <c r="AA58">
        <v>112.7</v>
      </c>
      <c r="AB58">
        <v>113.1</v>
      </c>
      <c r="AC58">
        <v>112.1</v>
      </c>
      <c r="AD58">
        <v>116.8</v>
      </c>
      <c r="AE58">
        <v>109.2</v>
      </c>
      <c r="AF58">
        <f t="shared" si="2"/>
        <v>221.9</v>
      </c>
      <c r="AG58">
        <v>113.3</v>
      </c>
      <c r="AH58">
        <v>119.2</v>
      </c>
    </row>
    <row r="59" spans="1:34" x14ac:dyDescent="0.35">
      <c r="A59" t="s">
        <v>28</v>
      </c>
      <c r="B59">
        <v>2014</v>
      </c>
      <c r="C59" t="s">
        <v>38</v>
      </c>
      <c r="D59">
        <v>121.8</v>
      </c>
      <c r="E59">
        <v>122.8</v>
      </c>
      <c r="F59">
        <v>117.8</v>
      </c>
      <c r="G59">
        <v>121.9</v>
      </c>
      <c r="H59">
        <v>110.6</v>
      </c>
      <c r="I59">
        <v>129.69999999999999</v>
      </c>
      <c r="J59">
        <v>161.1</v>
      </c>
      <c r="K59">
        <v>114.1</v>
      </c>
      <c r="L59">
        <v>105.1</v>
      </c>
      <c r="M59">
        <v>114.6</v>
      </c>
      <c r="N59">
        <v>115.8</v>
      </c>
      <c r="O59">
        <v>121.7</v>
      </c>
      <c r="P59">
        <v>125.3</v>
      </c>
      <c r="Q59">
        <f t="shared" si="0"/>
        <v>1582.2999999999997</v>
      </c>
      <c r="R59">
        <v>118.8</v>
      </c>
      <c r="S59">
        <v>120.9</v>
      </c>
      <c r="T59">
        <v>118.8</v>
      </c>
      <c r="U59">
        <v>120.7</v>
      </c>
      <c r="V59">
        <v>360.4</v>
      </c>
      <c r="W59">
        <v>115.5</v>
      </c>
      <c r="X59">
        <v>115.4</v>
      </c>
      <c r="Y59">
        <v>115.9</v>
      </c>
      <c r="Z59">
        <f t="shared" si="1"/>
        <v>231.4</v>
      </c>
      <c r="AA59">
        <v>114</v>
      </c>
      <c r="AB59">
        <v>113.2</v>
      </c>
      <c r="AC59">
        <v>112.2</v>
      </c>
      <c r="AD59">
        <v>116.2</v>
      </c>
      <c r="AE59">
        <v>109.4</v>
      </c>
      <c r="AF59">
        <f t="shared" si="2"/>
        <v>223.4</v>
      </c>
      <c r="AG59">
        <v>113.5</v>
      </c>
      <c r="AH59">
        <v>120.7</v>
      </c>
    </row>
    <row r="60" spans="1:34" x14ac:dyDescent="0.35">
      <c r="A60" t="s">
        <v>30</v>
      </c>
      <c r="B60">
        <v>2014</v>
      </c>
      <c r="C60" t="s">
        <v>38</v>
      </c>
      <c r="D60">
        <v>124.8</v>
      </c>
      <c r="E60">
        <v>127.3</v>
      </c>
      <c r="F60">
        <v>116.5</v>
      </c>
      <c r="G60">
        <v>122.2</v>
      </c>
      <c r="H60">
        <v>103.6</v>
      </c>
      <c r="I60">
        <v>132.69999999999999</v>
      </c>
      <c r="J60">
        <v>181.9</v>
      </c>
      <c r="K60">
        <v>115.2</v>
      </c>
      <c r="L60">
        <v>102.7</v>
      </c>
      <c r="M60">
        <v>122.1</v>
      </c>
      <c r="N60">
        <v>114.4</v>
      </c>
      <c r="O60">
        <v>124.7</v>
      </c>
      <c r="P60">
        <v>128.9</v>
      </c>
      <c r="Q60">
        <f t="shared" si="0"/>
        <v>1617</v>
      </c>
      <c r="R60">
        <v>123</v>
      </c>
      <c r="S60">
        <v>118.6</v>
      </c>
      <c r="T60">
        <v>114.1</v>
      </c>
      <c r="U60">
        <v>117.9</v>
      </c>
      <c r="V60">
        <v>350.6</v>
      </c>
      <c r="W60">
        <v>115.5</v>
      </c>
      <c r="X60">
        <v>111.8</v>
      </c>
      <c r="Y60">
        <v>115.3</v>
      </c>
      <c r="Z60">
        <f t="shared" si="1"/>
        <v>230.8</v>
      </c>
      <c r="AA60">
        <v>112.2</v>
      </c>
      <c r="AB60">
        <v>112.5</v>
      </c>
      <c r="AC60">
        <v>112.9</v>
      </c>
      <c r="AD60">
        <v>119.2</v>
      </c>
      <c r="AE60">
        <v>110.5</v>
      </c>
      <c r="AF60">
        <f t="shared" si="2"/>
        <v>222.7</v>
      </c>
      <c r="AG60">
        <v>113.9</v>
      </c>
      <c r="AH60">
        <v>119.9</v>
      </c>
    </row>
    <row r="61" spans="1:34" x14ac:dyDescent="0.35">
      <c r="A61" t="s">
        <v>31</v>
      </c>
      <c r="B61">
        <v>2014</v>
      </c>
      <c r="C61" t="s">
        <v>38</v>
      </c>
      <c r="D61">
        <v>122.7</v>
      </c>
      <c r="E61">
        <v>124.4</v>
      </c>
      <c r="F61">
        <v>117.3</v>
      </c>
      <c r="G61">
        <v>122</v>
      </c>
      <c r="H61">
        <v>108</v>
      </c>
      <c r="I61">
        <v>131.1</v>
      </c>
      <c r="J61">
        <v>168.2</v>
      </c>
      <c r="K61">
        <v>114.5</v>
      </c>
      <c r="L61">
        <v>104.3</v>
      </c>
      <c r="M61">
        <v>117.1</v>
      </c>
      <c r="N61">
        <v>115.2</v>
      </c>
      <c r="O61">
        <v>123.1</v>
      </c>
      <c r="P61">
        <v>126.6</v>
      </c>
      <c r="Q61">
        <f t="shared" si="0"/>
        <v>1594.4999999999998</v>
      </c>
      <c r="R61">
        <v>119.9</v>
      </c>
      <c r="S61">
        <v>120</v>
      </c>
      <c r="T61">
        <v>116.8</v>
      </c>
      <c r="U61">
        <v>119.6</v>
      </c>
      <c r="V61">
        <v>356.4</v>
      </c>
      <c r="W61">
        <v>115.5</v>
      </c>
      <c r="X61">
        <v>114</v>
      </c>
      <c r="Y61">
        <v>115.6</v>
      </c>
      <c r="Z61">
        <f t="shared" si="1"/>
        <v>231.1</v>
      </c>
      <c r="AA61">
        <v>113.3</v>
      </c>
      <c r="AB61">
        <v>112.8</v>
      </c>
      <c r="AC61">
        <v>112.6</v>
      </c>
      <c r="AD61">
        <v>118</v>
      </c>
      <c r="AE61">
        <v>109.9</v>
      </c>
      <c r="AF61">
        <f t="shared" si="2"/>
        <v>223.2</v>
      </c>
      <c r="AG61">
        <v>113.7</v>
      </c>
      <c r="AH61">
        <v>120.3</v>
      </c>
    </row>
    <row r="62" spans="1:34" x14ac:dyDescent="0.35">
      <c r="A62" t="s">
        <v>28</v>
      </c>
      <c r="B62">
        <v>2014</v>
      </c>
      <c r="C62" t="s">
        <v>39</v>
      </c>
      <c r="D62">
        <v>122.3</v>
      </c>
      <c r="E62">
        <v>122.4</v>
      </c>
      <c r="F62">
        <v>117.8</v>
      </c>
      <c r="G62">
        <v>122.7</v>
      </c>
      <c r="H62">
        <v>110.4</v>
      </c>
      <c r="I62">
        <v>129.80000000000001</v>
      </c>
      <c r="J62">
        <v>158.80000000000001</v>
      </c>
      <c r="K62">
        <v>115</v>
      </c>
      <c r="L62">
        <v>104.7</v>
      </c>
      <c r="M62">
        <v>114.9</v>
      </c>
      <c r="N62">
        <v>116.5</v>
      </c>
      <c r="O62">
        <v>122.6</v>
      </c>
      <c r="P62">
        <v>125.3</v>
      </c>
      <c r="Q62">
        <f t="shared" si="0"/>
        <v>1583.2</v>
      </c>
      <c r="R62">
        <v>119.5</v>
      </c>
      <c r="S62">
        <v>121.7</v>
      </c>
      <c r="T62">
        <v>119.2</v>
      </c>
      <c r="U62">
        <v>121.3</v>
      </c>
      <c r="V62">
        <v>362.2</v>
      </c>
      <c r="W62">
        <v>116.1</v>
      </c>
      <c r="X62">
        <v>115.8</v>
      </c>
      <c r="Y62">
        <v>116.7</v>
      </c>
      <c r="Z62">
        <f t="shared" si="1"/>
        <v>232.8</v>
      </c>
      <c r="AA62">
        <v>114.5</v>
      </c>
      <c r="AB62">
        <v>112.8</v>
      </c>
      <c r="AC62">
        <v>112.6</v>
      </c>
      <c r="AD62">
        <v>116.6</v>
      </c>
      <c r="AE62">
        <v>109.1</v>
      </c>
      <c r="AF62">
        <f t="shared" si="2"/>
        <v>223.6</v>
      </c>
      <c r="AG62">
        <v>113.7</v>
      </c>
      <c r="AH62">
        <v>120.9</v>
      </c>
    </row>
    <row r="63" spans="1:34" x14ac:dyDescent="0.35">
      <c r="A63" t="s">
        <v>30</v>
      </c>
      <c r="B63">
        <v>2014</v>
      </c>
      <c r="C63" t="s">
        <v>39</v>
      </c>
      <c r="D63">
        <v>124.2</v>
      </c>
      <c r="E63">
        <v>125.4</v>
      </c>
      <c r="F63">
        <v>116.4</v>
      </c>
      <c r="G63">
        <v>122.7</v>
      </c>
      <c r="H63">
        <v>103.5</v>
      </c>
      <c r="I63">
        <v>124.5</v>
      </c>
      <c r="J63">
        <v>168.6</v>
      </c>
      <c r="K63">
        <v>116.9</v>
      </c>
      <c r="L63">
        <v>101.9</v>
      </c>
      <c r="M63">
        <v>122.9</v>
      </c>
      <c r="N63">
        <v>114.8</v>
      </c>
      <c r="O63">
        <v>125.2</v>
      </c>
      <c r="P63">
        <v>126.7</v>
      </c>
      <c r="Q63">
        <f t="shared" si="0"/>
        <v>1593.7000000000003</v>
      </c>
      <c r="R63">
        <v>124.3</v>
      </c>
      <c r="S63">
        <v>119.2</v>
      </c>
      <c r="T63">
        <v>114.5</v>
      </c>
      <c r="U63">
        <v>118.4</v>
      </c>
      <c r="V63">
        <v>352.1</v>
      </c>
      <c r="W63">
        <v>116.1</v>
      </c>
      <c r="X63">
        <v>111.8</v>
      </c>
      <c r="Y63">
        <v>115.5</v>
      </c>
      <c r="Z63">
        <f t="shared" si="1"/>
        <v>231.6</v>
      </c>
      <c r="AA63">
        <v>112.3</v>
      </c>
      <c r="AB63">
        <v>111.2</v>
      </c>
      <c r="AC63">
        <v>113.4</v>
      </c>
      <c r="AD63">
        <v>120</v>
      </c>
      <c r="AE63">
        <v>110</v>
      </c>
      <c r="AF63">
        <f t="shared" si="2"/>
        <v>222.3</v>
      </c>
      <c r="AG63">
        <v>113.6</v>
      </c>
      <c r="AH63">
        <v>119.2</v>
      </c>
    </row>
    <row r="64" spans="1:34" x14ac:dyDescent="0.35">
      <c r="A64" t="s">
        <v>31</v>
      </c>
      <c r="B64">
        <v>2014</v>
      </c>
      <c r="C64" t="s">
        <v>39</v>
      </c>
      <c r="D64">
        <v>122.9</v>
      </c>
      <c r="E64">
        <v>123.5</v>
      </c>
      <c r="F64">
        <v>117.3</v>
      </c>
      <c r="G64">
        <v>122.7</v>
      </c>
      <c r="H64">
        <v>107.9</v>
      </c>
      <c r="I64">
        <v>127.3</v>
      </c>
      <c r="J64">
        <v>162.1</v>
      </c>
      <c r="K64">
        <v>115.6</v>
      </c>
      <c r="L64">
        <v>103.8</v>
      </c>
      <c r="M64">
        <v>117.6</v>
      </c>
      <c r="N64">
        <v>115.8</v>
      </c>
      <c r="O64">
        <v>123.8</v>
      </c>
      <c r="P64">
        <v>125.8</v>
      </c>
      <c r="Q64">
        <f t="shared" si="0"/>
        <v>1586.0999999999997</v>
      </c>
      <c r="R64">
        <v>120.8</v>
      </c>
      <c r="S64">
        <v>120.7</v>
      </c>
      <c r="T64">
        <v>117.2</v>
      </c>
      <c r="U64">
        <v>120.1</v>
      </c>
      <c r="V64">
        <v>358</v>
      </c>
      <c r="W64">
        <v>116.1</v>
      </c>
      <c r="X64">
        <v>114.3</v>
      </c>
      <c r="Y64">
        <v>116.1</v>
      </c>
      <c r="Z64">
        <f t="shared" si="1"/>
        <v>232.2</v>
      </c>
      <c r="AA64">
        <v>113.7</v>
      </c>
      <c r="AB64">
        <v>112</v>
      </c>
      <c r="AC64">
        <v>113.1</v>
      </c>
      <c r="AD64">
        <v>118.6</v>
      </c>
      <c r="AE64">
        <v>109.5</v>
      </c>
      <c r="AF64">
        <f t="shared" si="2"/>
        <v>223.2</v>
      </c>
      <c r="AG64">
        <v>113.7</v>
      </c>
      <c r="AH64">
        <v>120.1</v>
      </c>
    </row>
    <row r="65" spans="1:34" x14ac:dyDescent="0.35">
      <c r="A65" t="s">
        <v>28</v>
      </c>
      <c r="B65">
        <v>2014</v>
      </c>
      <c r="C65" t="s">
        <v>40</v>
      </c>
      <c r="D65">
        <v>122.6</v>
      </c>
      <c r="E65">
        <v>122.5</v>
      </c>
      <c r="F65">
        <v>118.3</v>
      </c>
      <c r="G65">
        <v>123.2</v>
      </c>
      <c r="H65">
        <v>110.5</v>
      </c>
      <c r="I65">
        <v>128.9</v>
      </c>
      <c r="J65">
        <v>155.30000000000001</v>
      </c>
      <c r="K65">
        <v>115.5</v>
      </c>
      <c r="L65">
        <v>104</v>
      </c>
      <c r="M65">
        <v>115.3</v>
      </c>
      <c r="N65">
        <v>116.8</v>
      </c>
      <c r="O65">
        <v>123.2</v>
      </c>
      <c r="P65">
        <v>125.1</v>
      </c>
      <c r="Q65">
        <f t="shared" si="0"/>
        <v>1581.1999999999998</v>
      </c>
      <c r="R65">
        <v>120</v>
      </c>
      <c r="S65">
        <v>122.7</v>
      </c>
      <c r="T65">
        <v>120.3</v>
      </c>
      <c r="U65">
        <v>122.3</v>
      </c>
      <c r="V65">
        <v>365.3</v>
      </c>
      <c r="W65">
        <v>116.7</v>
      </c>
      <c r="X65">
        <v>116.4</v>
      </c>
      <c r="Y65">
        <v>117.5</v>
      </c>
      <c r="Z65">
        <f t="shared" si="1"/>
        <v>234.2</v>
      </c>
      <c r="AA65">
        <v>115.3</v>
      </c>
      <c r="AB65">
        <v>112.6</v>
      </c>
      <c r="AC65">
        <v>113</v>
      </c>
      <c r="AD65">
        <v>116.9</v>
      </c>
      <c r="AE65">
        <v>109.3</v>
      </c>
      <c r="AF65">
        <f t="shared" si="2"/>
        <v>224.6</v>
      </c>
      <c r="AG65">
        <v>114</v>
      </c>
      <c r="AH65">
        <v>121</v>
      </c>
    </row>
    <row r="66" spans="1:34" x14ac:dyDescent="0.35">
      <c r="A66" t="s">
        <v>30</v>
      </c>
      <c r="B66">
        <v>2014</v>
      </c>
      <c r="C66" t="s">
        <v>40</v>
      </c>
      <c r="D66">
        <v>124.6</v>
      </c>
      <c r="E66">
        <v>126.1</v>
      </c>
      <c r="F66">
        <v>117.8</v>
      </c>
      <c r="G66">
        <v>123.1</v>
      </c>
      <c r="H66">
        <v>103.5</v>
      </c>
      <c r="I66">
        <v>123.5</v>
      </c>
      <c r="J66">
        <v>159.6</v>
      </c>
      <c r="K66">
        <v>117.4</v>
      </c>
      <c r="L66">
        <v>101.2</v>
      </c>
      <c r="M66">
        <v>123.8</v>
      </c>
      <c r="N66">
        <v>115.2</v>
      </c>
      <c r="O66">
        <v>125.9</v>
      </c>
      <c r="P66">
        <v>125.8</v>
      </c>
      <c r="Q66">
        <f t="shared" si="0"/>
        <v>1587.5</v>
      </c>
      <c r="R66">
        <v>124.3</v>
      </c>
      <c r="S66">
        <v>119.6</v>
      </c>
      <c r="T66">
        <v>114.9</v>
      </c>
      <c r="U66">
        <v>118.9</v>
      </c>
      <c r="V66">
        <v>353.4</v>
      </c>
      <c r="W66">
        <v>116.7</v>
      </c>
      <c r="X66">
        <v>112</v>
      </c>
      <c r="Y66">
        <v>115.8</v>
      </c>
      <c r="Z66">
        <f t="shared" si="1"/>
        <v>232.5</v>
      </c>
      <c r="AA66">
        <v>112.6</v>
      </c>
      <c r="AB66">
        <v>111</v>
      </c>
      <c r="AC66">
        <v>113.6</v>
      </c>
      <c r="AD66">
        <v>120.2</v>
      </c>
      <c r="AE66">
        <v>110.1</v>
      </c>
      <c r="AF66">
        <f t="shared" si="2"/>
        <v>222.7</v>
      </c>
      <c r="AG66">
        <v>113.7</v>
      </c>
      <c r="AH66">
        <v>119.1</v>
      </c>
    </row>
    <row r="67" spans="1:34" x14ac:dyDescent="0.35">
      <c r="A67" t="s">
        <v>31</v>
      </c>
      <c r="B67">
        <v>2014</v>
      </c>
      <c r="C67" t="s">
        <v>40</v>
      </c>
      <c r="D67">
        <v>123.2</v>
      </c>
      <c r="E67">
        <v>123.8</v>
      </c>
      <c r="F67">
        <v>118.1</v>
      </c>
      <c r="G67">
        <v>123.2</v>
      </c>
      <c r="H67">
        <v>107.9</v>
      </c>
      <c r="I67">
        <v>126.4</v>
      </c>
      <c r="J67">
        <v>156.80000000000001</v>
      </c>
      <c r="K67">
        <v>116.1</v>
      </c>
      <c r="L67">
        <v>103.1</v>
      </c>
      <c r="M67">
        <v>118.1</v>
      </c>
      <c r="N67">
        <v>116.1</v>
      </c>
      <c r="O67">
        <v>124.5</v>
      </c>
      <c r="P67">
        <v>125.4</v>
      </c>
      <c r="Q67">
        <f t="shared" ref="Q67:Q130" si="3">SUM(D67:P67)</f>
        <v>1582.7</v>
      </c>
      <c r="R67">
        <v>121.1</v>
      </c>
      <c r="S67">
        <v>121.5</v>
      </c>
      <c r="T67">
        <v>118.1</v>
      </c>
      <c r="U67">
        <v>121</v>
      </c>
      <c r="V67">
        <v>360.6</v>
      </c>
      <c r="W67">
        <v>116.7</v>
      </c>
      <c r="X67">
        <v>114.7</v>
      </c>
      <c r="Y67">
        <v>116.7</v>
      </c>
      <c r="Z67">
        <f t="shared" ref="Z67:Z130" si="4">W67+Y67</f>
        <v>233.4</v>
      </c>
      <c r="AA67">
        <v>114.3</v>
      </c>
      <c r="AB67">
        <v>111.8</v>
      </c>
      <c r="AC67">
        <v>113.3</v>
      </c>
      <c r="AD67">
        <v>118.8</v>
      </c>
      <c r="AE67">
        <v>109.6</v>
      </c>
      <c r="AF67">
        <f t="shared" ref="AF67:AF130" si="5">AA67+AE67</f>
        <v>223.89999999999998</v>
      </c>
      <c r="AG67">
        <v>113.9</v>
      </c>
      <c r="AH67">
        <v>120.1</v>
      </c>
    </row>
    <row r="68" spans="1:34" x14ac:dyDescent="0.35">
      <c r="A68" t="s">
        <v>28</v>
      </c>
      <c r="B68">
        <v>2014</v>
      </c>
      <c r="C68" t="s">
        <v>42</v>
      </c>
      <c r="D68">
        <v>122.7</v>
      </c>
      <c r="E68">
        <v>122.6</v>
      </c>
      <c r="F68">
        <v>119.9</v>
      </c>
      <c r="G68">
        <v>124</v>
      </c>
      <c r="H68">
        <v>110.5</v>
      </c>
      <c r="I68">
        <v>128.80000000000001</v>
      </c>
      <c r="J68">
        <v>152</v>
      </c>
      <c r="K68">
        <v>116.2</v>
      </c>
      <c r="L68">
        <v>103.3</v>
      </c>
      <c r="M68">
        <v>115.8</v>
      </c>
      <c r="N68">
        <v>116.8</v>
      </c>
      <c r="O68">
        <v>124.5</v>
      </c>
      <c r="P68">
        <v>124.9</v>
      </c>
      <c r="Q68">
        <f t="shared" si="3"/>
        <v>1582</v>
      </c>
      <c r="R68">
        <v>120.8</v>
      </c>
      <c r="S68">
        <v>123.3</v>
      </c>
      <c r="T68">
        <v>120.5</v>
      </c>
      <c r="U68">
        <v>122.9</v>
      </c>
      <c r="V68">
        <v>366.70000000000005</v>
      </c>
      <c r="W68">
        <v>117.1</v>
      </c>
      <c r="X68">
        <v>117.3</v>
      </c>
      <c r="Y68">
        <v>118.1</v>
      </c>
      <c r="Z68">
        <f t="shared" si="4"/>
        <v>235.2</v>
      </c>
      <c r="AA68">
        <v>115.9</v>
      </c>
      <c r="AB68">
        <v>112</v>
      </c>
      <c r="AC68">
        <v>113.3</v>
      </c>
      <c r="AD68">
        <v>117.2</v>
      </c>
      <c r="AE68">
        <v>108.8</v>
      </c>
      <c r="AF68">
        <f t="shared" si="5"/>
        <v>224.7</v>
      </c>
      <c r="AG68">
        <v>114.1</v>
      </c>
      <c r="AH68">
        <v>121.1</v>
      </c>
    </row>
    <row r="69" spans="1:34" x14ac:dyDescent="0.35">
      <c r="A69" t="s">
        <v>30</v>
      </c>
      <c r="B69">
        <v>2014</v>
      </c>
      <c r="C69" t="s">
        <v>42</v>
      </c>
      <c r="D69">
        <v>124.5</v>
      </c>
      <c r="E69">
        <v>125.6</v>
      </c>
      <c r="F69">
        <v>122.7</v>
      </c>
      <c r="G69">
        <v>124.6</v>
      </c>
      <c r="H69">
        <v>103.2</v>
      </c>
      <c r="I69">
        <v>122.2</v>
      </c>
      <c r="J69">
        <v>153.19999999999999</v>
      </c>
      <c r="K69">
        <v>119.3</v>
      </c>
      <c r="L69">
        <v>99.8</v>
      </c>
      <c r="M69">
        <v>124.6</v>
      </c>
      <c r="N69">
        <v>115.8</v>
      </c>
      <c r="O69">
        <v>126.9</v>
      </c>
      <c r="P69">
        <v>125.4</v>
      </c>
      <c r="Q69">
        <f t="shared" si="3"/>
        <v>1587.8</v>
      </c>
      <c r="R69">
        <v>125.8</v>
      </c>
      <c r="S69">
        <v>120.3</v>
      </c>
      <c r="T69">
        <v>115.4</v>
      </c>
      <c r="U69">
        <v>119.5</v>
      </c>
      <c r="V69">
        <v>355.2</v>
      </c>
      <c r="W69">
        <v>117.1</v>
      </c>
      <c r="X69">
        <v>112.6</v>
      </c>
      <c r="Y69">
        <v>116.4</v>
      </c>
      <c r="Z69">
        <f t="shared" si="4"/>
        <v>233.5</v>
      </c>
      <c r="AA69">
        <v>113</v>
      </c>
      <c r="AB69">
        <v>109.7</v>
      </c>
      <c r="AC69">
        <v>114</v>
      </c>
      <c r="AD69">
        <v>120.3</v>
      </c>
      <c r="AE69">
        <v>109.6</v>
      </c>
      <c r="AF69">
        <f t="shared" si="5"/>
        <v>222.6</v>
      </c>
      <c r="AG69">
        <v>113.4</v>
      </c>
      <c r="AH69">
        <v>119</v>
      </c>
    </row>
    <row r="70" spans="1:34" x14ac:dyDescent="0.35">
      <c r="A70" t="s">
        <v>31</v>
      </c>
      <c r="B70">
        <v>2014</v>
      </c>
      <c r="C70" t="s">
        <v>42</v>
      </c>
      <c r="D70">
        <v>123.3</v>
      </c>
      <c r="E70">
        <v>123.7</v>
      </c>
      <c r="F70">
        <v>121</v>
      </c>
      <c r="G70">
        <v>124.2</v>
      </c>
      <c r="H70">
        <v>107.8</v>
      </c>
      <c r="I70">
        <v>125.7</v>
      </c>
      <c r="J70">
        <v>152.4</v>
      </c>
      <c r="K70">
        <v>117.2</v>
      </c>
      <c r="L70">
        <v>102.1</v>
      </c>
      <c r="M70">
        <v>118.7</v>
      </c>
      <c r="N70">
        <v>116.4</v>
      </c>
      <c r="O70">
        <v>125.6</v>
      </c>
      <c r="P70">
        <v>125.1</v>
      </c>
      <c r="Q70">
        <f t="shared" si="3"/>
        <v>1583.2</v>
      </c>
      <c r="R70">
        <v>122.1</v>
      </c>
      <c r="S70">
        <v>122.1</v>
      </c>
      <c r="T70">
        <v>118.4</v>
      </c>
      <c r="U70">
        <v>121.6</v>
      </c>
      <c r="V70">
        <v>362.1</v>
      </c>
      <c r="W70">
        <v>117.1</v>
      </c>
      <c r="X70">
        <v>115.5</v>
      </c>
      <c r="Y70">
        <v>117.3</v>
      </c>
      <c r="Z70">
        <f t="shared" si="4"/>
        <v>234.39999999999998</v>
      </c>
      <c r="AA70">
        <v>114.8</v>
      </c>
      <c r="AB70">
        <v>110.8</v>
      </c>
      <c r="AC70">
        <v>113.7</v>
      </c>
      <c r="AD70">
        <v>119</v>
      </c>
      <c r="AE70">
        <v>109.1</v>
      </c>
      <c r="AF70">
        <f t="shared" si="5"/>
        <v>223.89999999999998</v>
      </c>
      <c r="AG70">
        <v>113.8</v>
      </c>
      <c r="AH70">
        <v>120.1</v>
      </c>
    </row>
    <row r="71" spans="1:34" x14ac:dyDescent="0.35">
      <c r="A71" t="s">
        <v>28</v>
      </c>
      <c r="B71">
        <v>2014</v>
      </c>
      <c r="C71" t="s">
        <v>43</v>
      </c>
      <c r="D71">
        <v>122.4</v>
      </c>
      <c r="E71">
        <v>122.4</v>
      </c>
      <c r="F71">
        <v>121.8</v>
      </c>
      <c r="G71">
        <v>124.2</v>
      </c>
      <c r="H71">
        <v>110.2</v>
      </c>
      <c r="I71">
        <v>128.6</v>
      </c>
      <c r="J71">
        <v>140.30000000000001</v>
      </c>
      <c r="K71">
        <v>116.3</v>
      </c>
      <c r="L71">
        <v>102</v>
      </c>
      <c r="M71">
        <v>116</v>
      </c>
      <c r="N71">
        <v>117.3</v>
      </c>
      <c r="O71">
        <v>124.8</v>
      </c>
      <c r="P71">
        <v>123.3</v>
      </c>
      <c r="Q71">
        <f t="shared" si="3"/>
        <v>1569.6</v>
      </c>
      <c r="R71">
        <v>121.7</v>
      </c>
      <c r="S71">
        <v>123.8</v>
      </c>
      <c r="T71">
        <v>120.6</v>
      </c>
      <c r="U71">
        <v>123.3</v>
      </c>
      <c r="V71">
        <v>367.7</v>
      </c>
      <c r="W71">
        <v>116.5</v>
      </c>
      <c r="X71">
        <v>117.4</v>
      </c>
      <c r="Y71">
        <v>118.2</v>
      </c>
      <c r="Z71">
        <f t="shared" si="4"/>
        <v>234.7</v>
      </c>
      <c r="AA71">
        <v>116.2</v>
      </c>
      <c r="AB71">
        <v>111.5</v>
      </c>
      <c r="AC71">
        <v>113.3</v>
      </c>
      <c r="AD71">
        <v>117.7</v>
      </c>
      <c r="AE71">
        <v>109.4</v>
      </c>
      <c r="AF71">
        <f t="shared" si="5"/>
        <v>225.60000000000002</v>
      </c>
      <c r="AG71">
        <v>114.2</v>
      </c>
      <c r="AH71">
        <v>120.3</v>
      </c>
    </row>
    <row r="72" spans="1:34" x14ac:dyDescent="0.35">
      <c r="A72" t="s">
        <v>30</v>
      </c>
      <c r="B72">
        <v>2014</v>
      </c>
      <c r="C72" t="s">
        <v>43</v>
      </c>
      <c r="D72">
        <v>124</v>
      </c>
      <c r="E72">
        <v>124.7</v>
      </c>
      <c r="F72">
        <v>126.3</v>
      </c>
      <c r="G72">
        <v>124.9</v>
      </c>
      <c r="H72">
        <v>103</v>
      </c>
      <c r="I72">
        <v>122.3</v>
      </c>
      <c r="J72">
        <v>141</v>
      </c>
      <c r="K72">
        <v>120.1</v>
      </c>
      <c r="L72">
        <v>97.8</v>
      </c>
      <c r="M72">
        <v>125.4</v>
      </c>
      <c r="N72">
        <v>116.1</v>
      </c>
      <c r="O72">
        <v>127.6</v>
      </c>
      <c r="P72">
        <v>124</v>
      </c>
      <c r="Q72">
        <f t="shared" si="3"/>
        <v>1577.1999999999998</v>
      </c>
      <c r="R72">
        <v>126.4</v>
      </c>
      <c r="S72">
        <v>120.7</v>
      </c>
      <c r="T72">
        <v>115.8</v>
      </c>
      <c r="U72">
        <v>120</v>
      </c>
      <c r="V72">
        <v>356.5</v>
      </c>
      <c r="W72">
        <v>116.5</v>
      </c>
      <c r="X72">
        <v>113</v>
      </c>
      <c r="Y72">
        <v>116.8</v>
      </c>
      <c r="Z72">
        <f t="shared" si="4"/>
        <v>233.3</v>
      </c>
      <c r="AA72">
        <v>113.2</v>
      </c>
      <c r="AB72">
        <v>108.8</v>
      </c>
      <c r="AC72">
        <v>114.3</v>
      </c>
      <c r="AD72">
        <v>120.7</v>
      </c>
      <c r="AE72">
        <v>110.4</v>
      </c>
      <c r="AF72">
        <f t="shared" si="5"/>
        <v>223.60000000000002</v>
      </c>
      <c r="AG72">
        <v>113.4</v>
      </c>
      <c r="AH72">
        <v>118.4</v>
      </c>
    </row>
    <row r="73" spans="1:34" x14ac:dyDescent="0.35">
      <c r="A73" t="s">
        <v>31</v>
      </c>
      <c r="B73">
        <v>2014</v>
      </c>
      <c r="C73" t="s">
        <v>43</v>
      </c>
      <c r="D73">
        <v>122.9</v>
      </c>
      <c r="E73">
        <v>123.2</v>
      </c>
      <c r="F73">
        <v>123.5</v>
      </c>
      <c r="G73">
        <v>124.5</v>
      </c>
      <c r="H73">
        <v>107.6</v>
      </c>
      <c r="I73">
        <v>125.7</v>
      </c>
      <c r="J73">
        <v>140.5</v>
      </c>
      <c r="K73">
        <v>117.6</v>
      </c>
      <c r="L73">
        <v>100.6</v>
      </c>
      <c r="M73">
        <v>119.1</v>
      </c>
      <c r="N73">
        <v>116.8</v>
      </c>
      <c r="O73">
        <v>126.1</v>
      </c>
      <c r="P73">
        <v>123.6</v>
      </c>
      <c r="Q73">
        <f t="shared" si="3"/>
        <v>1571.6999999999998</v>
      </c>
      <c r="R73">
        <v>123</v>
      </c>
      <c r="S73">
        <v>122.6</v>
      </c>
      <c r="T73">
        <v>118.6</v>
      </c>
      <c r="U73">
        <v>122</v>
      </c>
      <c r="V73">
        <v>363.2</v>
      </c>
      <c r="W73">
        <v>116.5</v>
      </c>
      <c r="X73">
        <v>115.7</v>
      </c>
      <c r="Y73">
        <v>117.5</v>
      </c>
      <c r="Z73">
        <f t="shared" si="4"/>
        <v>234</v>
      </c>
      <c r="AA73">
        <v>115.1</v>
      </c>
      <c r="AB73">
        <v>110.1</v>
      </c>
      <c r="AC73">
        <v>113.9</v>
      </c>
      <c r="AD73">
        <v>119.5</v>
      </c>
      <c r="AE73">
        <v>109.8</v>
      </c>
      <c r="AF73">
        <f t="shared" si="5"/>
        <v>224.89999999999998</v>
      </c>
      <c r="AG73">
        <v>113.8</v>
      </c>
      <c r="AH73">
        <v>119.4</v>
      </c>
    </row>
    <row r="74" spans="1:34" x14ac:dyDescent="0.35">
      <c r="A74" t="s">
        <v>28</v>
      </c>
      <c r="B74">
        <v>2015</v>
      </c>
      <c r="C74" t="s">
        <v>29</v>
      </c>
      <c r="D74">
        <v>123.1</v>
      </c>
      <c r="E74">
        <v>123.1</v>
      </c>
      <c r="F74">
        <v>122.1</v>
      </c>
      <c r="G74">
        <v>124.9</v>
      </c>
      <c r="H74">
        <v>111</v>
      </c>
      <c r="I74">
        <v>130.4</v>
      </c>
      <c r="J74">
        <v>132.30000000000001</v>
      </c>
      <c r="K74">
        <v>117.2</v>
      </c>
      <c r="L74">
        <v>100.5</v>
      </c>
      <c r="M74">
        <v>117.2</v>
      </c>
      <c r="N74">
        <v>117.9</v>
      </c>
      <c r="O74">
        <v>125.6</v>
      </c>
      <c r="P74">
        <v>122.8</v>
      </c>
      <c r="Q74">
        <f t="shared" si="3"/>
        <v>1568.1</v>
      </c>
      <c r="R74">
        <v>122.7</v>
      </c>
      <c r="S74">
        <v>124.4</v>
      </c>
      <c r="T74">
        <v>121.6</v>
      </c>
      <c r="U74">
        <v>124</v>
      </c>
      <c r="V74">
        <v>370</v>
      </c>
      <c r="W74">
        <v>117.3</v>
      </c>
      <c r="X74">
        <v>118.4</v>
      </c>
      <c r="Y74">
        <v>118.9</v>
      </c>
      <c r="Z74">
        <f t="shared" si="4"/>
        <v>236.2</v>
      </c>
      <c r="AA74">
        <v>116.6</v>
      </c>
      <c r="AB74">
        <v>111</v>
      </c>
      <c r="AC74">
        <v>114</v>
      </c>
      <c r="AD74">
        <v>118.2</v>
      </c>
      <c r="AE74">
        <v>110.2</v>
      </c>
      <c r="AF74">
        <f t="shared" si="5"/>
        <v>226.8</v>
      </c>
      <c r="AG74">
        <v>114.5</v>
      </c>
      <c r="AH74">
        <v>120.3</v>
      </c>
    </row>
    <row r="75" spans="1:34" x14ac:dyDescent="0.35">
      <c r="A75" t="s">
        <v>30</v>
      </c>
      <c r="B75">
        <v>2015</v>
      </c>
      <c r="C75" t="s">
        <v>29</v>
      </c>
      <c r="D75">
        <v>124</v>
      </c>
      <c r="E75">
        <v>125.5</v>
      </c>
      <c r="F75">
        <v>126.6</v>
      </c>
      <c r="G75">
        <v>125.2</v>
      </c>
      <c r="H75">
        <v>104.3</v>
      </c>
      <c r="I75">
        <v>121.3</v>
      </c>
      <c r="J75">
        <v>134.4</v>
      </c>
      <c r="K75">
        <v>122.9</v>
      </c>
      <c r="L75">
        <v>96.1</v>
      </c>
      <c r="M75">
        <v>126.6</v>
      </c>
      <c r="N75">
        <v>116.5</v>
      </c>
      <c r="O75">
        <v>128</v>
      </c>
      <c r="P75">
        <v>123.5</v>
      </c>
      <c r="Q75">
        <f t="shared" si="3"/>
        <v>1574.8999999999999</v>
      </c>
      <c r="R75">
        <v>127.4</v>
      </c>
      <c r="S75">
        <v>121</v>
      </c>
      <c r="T75">
        <v>116.1</v>
      </c>
      <c r="U75">
        <v>120.2</v>
      </c>
      <c r="V75">
        <v>357.3</v>
      </c>
      <c r="W75">
        <v>117.3</v>
      </c>
      <c r="X75">
        <v>113.4</v>
      </c>
      <c r="Y75">
        <v>117.2</v>
      </c>
      <c r="Z75">
        <f t="shared" si="4"/>
        <v>234.5</v>
      </c>
      <c r="AA75">
        <v>113.7</v>
      </c>
      <c r="AB75">
        <v>107.9</v>
      </c>
      <c r="AC75">
        <v>114.6</v>
      </c>
      <c r="AD75">
        <v>120.8</v>
      </c>
      <c r="AE75">
        <v>111.4</v>
      </c>
      <c r="AF75">
        <f t="shared" si="5"/>
        <v>225.10000000000002</v>
      </c>
      <c r="AG75">
        <v>113.4</v>
      </c>
      <c r="AH75">
        <v>118.5</v>
      </c>
    </row>
    <row r="76" spans="1:34" x14ac:dyDescent="0.35">
      <c r="A76" t="s">
        <v>31</v>
      </c>
      <c r="B76">
        <v>2015</v>
      </c>
      <c r="C76" t="s">
        <v>29</v>
      </c>
      <c r="D76">
        <v>123.4</v>
      </c>
      <c r="E76">
        <v>123.9</v>
      </c>
      <c r="F76">
        <v>123.8</v>
      </c>
      <c r="G76">
        <v>125</v>
      </c>
      <c r="H76">
        <v>108.5</v>
      </c>
      <c r="I76">
        <v>126.2</v>
      </c>
      <c r="J76">
        <v>133</v>
      </c>
      <c r="K76">
        <v>119.1</v>
      </c>
      <c r="L76">
        <v>99</v>
      </c>
      <c r="M76">
        <v>120.3</v>
      </c>
      <c r="N76">
        <v>117.3</v>
      </c>
      <c r="O76">
        <v>126.7</v>
      </c>
      <c r="P76">
        <v>123.1</v>
      </c>
      <c r="Q76">
        <f t="shared" si="3"/>
        <v>1569.3</v>
      </c>
      <c r="R76">
        <v>124</v>
      </c>
      <c r="S76">
        <v>123.1</v>
      </c>
      <c r="T76">
        <v>119.3</v>
      </c>
      <c r="U76">
        <v>122.5</v>
      </c>
      <c r="V76">
        <v>364.9</v>
      </c>
      <c r="W76">
        <v>117.3</v>
      </c>
      <c r="X76">
        <v>116.5</v>
      </c>
      <c r="Y76">
        <v>118.1</v>
      </c>
      <c r="Z76">
        <f t="shared" si="4"/>
        <v>235.39999999999998</v>
      </c>
      <c r="AA76">
        <v>115.5</v>
      </c>
      <c r="AB76">
        <v>109.4</v>
      </c>
      <c r="AC76">
        <v>114.3</v>
      </c>
      <c r="AD76">
        <v>119.7</v>
      </c>
      <c r="AE76">
        <v>110.7</v>
      </c>
      <c r="AF76">
        <f t="shared" si="5"/>
        <v>226.2</v>
      </c>
      <c r="AG76">
        <v>114</v>
      </c>
      <c r="AH76">
        <v>119.5</v>
      </c>
    </row>
    <row r="77" spans="1:34" x14ac:dyDescent="0.35">
      <c r="A77" t="s">
        <v>28</v>
      </c>
      <c r="B77">
        <v>2015</v>
      </c>
      <c r="C77" t="s">
        <v>32</v>
      </c>
      <c r="D77">
        <v>123.4</v>
      </c>
      <c r="E77">
        <v>124.4</v>
      </c>
      <c r="F77">
        <v>122.1</v>
      </c>
      <c r="G77">
        <v>125.8</v>
      </c>
      <c r="H77">
        <v>111.5</v>
      </c>
      <c r="I77">
        <v>129.4</v>
      </c>
      <c r="J77">
        <v>128.19999999999999</v>
      </c>
      <c r="K77">
        <v>118.8</v>
      </c>
      <c r="L77">
        <v>100</v>
      </c>
      <c r="M77">
        <v>118.6</v>
      </c>
      <c r="N77">
        <v>118.8</v>
      </c>
      <c r="O77">
        <v>126.8</v>
      </c>
      <c r="P77">
        <v>122.8</v>
      </c>
      <c r="Q77">
        <f t="shared" si="3"/>
        <v>1570.5999999999997</v>
      </c>
      <c r="R77">
        <v>124.2</v>
      </c>
      <c r="S77">
        <v>125.4</v>
      </c>
      <c r="T77">
        <v>122.7</v>
      </c>
      <c r="U77">
        <v>125</v>
      </c>
      <c r="V77">
        <v>373.1</v>
      </c>
      <c r="W77">
        <v>118.1</v>
      </c>
      <c r="X77">
        <v>120</v>
      </c>
      <c r="Y77">
        <v>119.6</v>
      </c>
      <c r="Z77">
        <f t="shared" si="4"/>
        <v>237.7</v>
      </c>
      <c r="AA77">
        <v>117.7</v>
      </c>
      <c r="AB77">
        <v>110.9</v>
      </c>
      <c r="AC77">
        <v>114.8</v>
      </c>
      <c r="AD77">
        <v>118.7</v>
      </c>
      <c r="AE77">
        <v>110.8</v>
      </c>
      <c r="AF77">
        <f t="shared" si="5"/>
        <v>228.5</v>
      </c>
      <c r="AG77">
        <v>115</v>
      </c>
      <c r="AH77">
        <v>120.6</v>
      </c>
    </row>
    <row r="78" spans="1:34" x14ac:dyDescent="0.35">
      <c r="A78" t="s">
        <v>30</v>
      </c>
      <c r="B78">
        <v>2015</v>
      </c>
      <c r="C78" t="s">
        <v>32</v>
      </c>
      <c r="D78">
        <v>124.3</v>
      </c>
      <c r="E78">
        <v>126.5</v>
      </c>
      <c r="F78">
        <v>119.5</v>
      </c>
      <c r="G78">
        <v>125.6</v>
      </c>
      <c r="H78">
        <v>104.9</v>
      </c>
      <c r="I78">
        <v>121.6</v>
      </c>
      <c r="J78">
        <v>131.80000000000001</v>
      </c>
      <c r="K78">
        <v>125.1</v>
      </c>
      <c r="L78">
        <v>95</v>
      </c>
      <c r="M78">
        <v>127.7</v>
      </c>
      <c r="N78">
        <v>116.8</v>
      </c>
      <c r="O78">
        <v>128.6</v>
      </c>
      <c r="P78">
        <v>123.7</v>
      </c>
      <c r="Q78">
        <f t="shared" si="3"/>
        <v>1571.1000000000001</v>
      </c>
      <c r="R78">
        <v>128.1</v>
      </c>
      <c r="S78">
        <v>121.3</v>
      </c>
      <c r="T78">
        <v>116.5</v>
      </c>
      <c r="U78">
        <v>120.6</v>
      </c>
      <c r="V78">
        <v>358.4</v>
      </c>
      <c r="W78">
        <v>118.1</v>
      </c>
      <c r="X78">
        <v>114</v>
      </c>
      <c r="Y78">
        <v>117.7</v>
      </c>
      <c r="Z78">
        <f t="shared" si="4"/>
        <v>235.8</v>
      </c>
      <c r="AA78">
        <v>114.1</v>
      </c>
      <c r="AB78">
        <v>106.8</v>
      </c>
      <c r="AC78">
        <v>114.9</v>
      </c>
      <c r="AD78">
        <v>120.4</v>
      </c>
      <c r="AE78">
        <v>111.7</v>
      </c>
      <c r="AF78">
        <f t="shared" si="5"/>
        <v>225.8</v>
      </c>
      <c r="AG78">
        <v>113.2</v>
      </c>
      <c r="AH78">
        <v>118.7</v>
      </c>
    </row>
    <row r="79" spans="1:34" x14ac:dyDescent="0.35">
      <c r="A79" t="s">
        <v>31</v>
      </c>
      <c r="B79">
        <v>2015</v>
      </c>
      <c r="C79" t="s">
        <v>32</v>
      </c>
      <c r="D79">
        <v>123.7</v>
      </c>
      <c r="E79">
        <v>125.1</v>
      </c>
      <c r="F79">
        <v>121.1</v>
      </c>
      <c r="G79">
        <v>125.7</v>
      </c>
      <c r="H79">
        <v>109.1</v>
      </c>
      <c r="I79">
        <v>125.8</v>
      </c>
      <c r="J79">
        <v>129.4</v>
      </c>
      <c r="K79">
        <v>120.9</v>
      </c>
      <c r="L79">
        <v>98.3</v>
      </c>
      <c r="M79">
        <v>121.6</v>
      </c>
      <c r="N79">
        <v>118</v>
      </c>
      <c r="O79">
        <v>127.6</v>
      </c>
      <c r="P79">
        <v>123.1</v>
      </c>
      <c r="Q79">
        <f t="shared" si="3"/>
        <v>1569.3999999999996</v>
      </c>
      <c r="R79">
        <v>125.2</v>
      </c>
      <c r="S79">
        <v>123.8</v>
      </c>
      <c r="T79">
        <v>120.1</v>
      </c>
      <c r="U79">
        <v>123.3</v>
      </c>
      <c r="V79">
        <v>367.2</v>
      </c>
      <c r="W79">
        <v>118.1</v>
      </c>
      <c r="X79">
        <v>117.7</v>
      </c>
      <c r="Y79">
        <v>118.7</v>
      </c>
      <c r="Z79">
        <f t="shared" si="4"/>
        <v>236.8</v>
      </c>
      <c r="AA79">
        <v>116.3</v>
      </c>
      <c r="AB79">
        <v>108.7</v>
      </c>
      <c r="AC79">
        <v>114.9</v>
      </c>
      <c r="AD79">
        <v>119.7</v>
      </c>
      <c r="AE79">
        <v>111.2</v>
      </c>
      <c r="AF79">
        <f t="shared" si="5"/>
        <v>227.5</v>
      </c>
      <c r="AG79">
        <v>114.1</v>
      </c>
      <c r="AH79">
        <v>119.7</v>
      </c>
    </row>
    <row r="80" spans="1:34" x14ac:dyDescent="0.35">
      <c r="A80" t="s">
        <v>28</v>
      </c>
      <c r="B80">
        <v>2015</v>
      </c>
      <c r="C80" t="s">
        <v>33</v>
      </c>
      <c r="D80">
        <v>123.3</v>
      </c>
      <c r="E80">
        <v>124.7</v>
      </c>
      <c r="F80">
        <v>118.9</v>
      </c>
      <c r="G80">
        <v>126</v>
      </c>
      <c r="H80">
        <v>111.8</v>
      </c>
      <c r="I80">
        <v>130.9</v>
      </c>
      <c r="J80">
        <v>128</v>
      </c>
      <c r="K80">
        <v>119.9</v>
      </c>
      <c r="L80">
        <v>98.9</v>
      </c>
      <c r="M80">
        <v>119.4</v>
      </c>
      <c r="N80">
        <v>118.9</v>
      </c>
      <c r="O80">
        <v>127.7</v>
      </c>
      <c r="P80">
        <v>123.1</v>
      </c>
      <c r="Q80">
        <f t="shared" si="3"/>
        <v>1571.5</v>
      </c>
      <c r="R80">
        <v>124.7</v>
      </c>
      <c r="S80">
        <v>126</v>
      </c>
      <c r="T80">
        <v>122.9</v>
      </c>
      <c r="U80">
        <v>125.5</v>
      </c>
      <c r="V80">
        <v>374.4</v>
      </c>
      <c r="W80">
        <v>118.6</v>
      </c>
      <c r="X80">
        <v>120.6</v>
      </c>
      <c r="Y80">
        <v>120.2</v>
      </c>
      <c r="Z80">
        <f t="shared" si="4"/>
        <v>238.8</v>
      </c>
      <c r="AA80">
        <v>118.2</v>
      </c>
      <c r="AB80">
        <v>111.6</v>
      </c>
      <c r="AC80">
        <v>115.5</v>
      </c>
      <c r="AD80">
        <v>119.4</v>
      </c>
      <c r="AE80">
        <v>110.8</v>
      </c>
      <c r="AF80">
        <f t="shared" si="5"/>
        <v>229</v>
      </c>
      <c r="AG80">
        <v>115.5</v>
      </c>
      <c r="AH80">
        <v>121.1</v>
      </c>
    </row>
    <row r="81" spans="1:34" x14ac:dyDescent="0.35">
      <c r="A81" t="s">
        <v>30</v>
      </c>
      <c r="B81">
        <v>2015</v>
      </c>
      <c r="C81" t="s">
        <v>33</v>
      </c>
      <c r="D81">
        <v>124</v>
      </c>
      <c r="E81">
        <v>126.7</v>
      </c>
      <c r="F81">
        <v>113.5</v>
      </c>
      <c r="G81">
        <v>125.9</v>
      </c>
      <c r="H81">
        <v>104.8</v>
      </c>
      <c r="I81">
        <v>123.8</v>
      </c>
      <c r="J81">
        <v>131.4</v>
      </c>
      <c r="K81">
        <v>127.2</v>
      </c>
      <c r="L81">
        <v>93.2</v>
      </c>
      <c r="M81">
        <v>127.4</v>
      </c>
      <c r="N81">
        <v>117</v>
      </c>
      <c r="O81">
        <v>129.19999999999999</v>
      </c>
      <c r="P81">
        <v>123.9</v>
      </c>
      <c r="Q81">
        <f t="shared" si="3"/>
        <v>1568.0000000000002</v>
      </c>
      <c r="R81">
        <v>128.80000000000001</v>
      </c>
      <c r="S81">
        <v>121.7</v>
      </c>
      <c r="T81">
        <v>116.9</v>
      </c>
      <c r="U81">
        <v>120.9</v>
      </c>
      <c r="V81">
        <v>359.5</v>
      </c>
      <c r="W81">
        <v>118.6</v>
      </c>
      <c r="X81">
        <v>114.4</v>
      </c>
      <c r="Y81">
        <v>118</v>
      </c>
      <c r="Z81">
        <f t="shared" si="4"/>
        <v>236.6</v>
      </c>
      <c r="AA81">
        <v>114.3</v>
      </c>
      <c r="AB81">
        <v>108.4</v>
      </c>
      <c r="AC81">
        <v>115.4</v>
      </c>
      <c r="AD81">
        <v>120.6</v>
      </c>
      <c r="AE81">
        <v>111.3</v>
      </c>
      <c r="AF81">
        <f t="shared" si="5"/>
        <v>225.6</v>
      </c>
      <c r="AG81">
        <v>113.8</v>
      </c>
      <c r="AH81">
        <v>119.1</v>
      </c>
    </row>
    <row r="82" spans="1:34" x14ac:dyDescent="0.35">
      <c r="A82" t="s">
        <v>31</v>
      </c>
      <c r="B82">
        <v>2015</v>
      </c>
      <c r="C82" t="s">
        <v>33</v>
      </c>
      <c r="D82">
        <v>123.5</v>
      </c>
      <c r="E82">
        <v>125.4</v>
      </c>
      <c r="F82">
        <v>116.8</v>
      </c>
      <c r="G82">
        <v>126</v>
      </c>
      <c r="H82">
        <v>109.2</v>
      </c>
      <c r="I82">
        <v>127.6</v>
      </c>
      <c r="J82">
        <v>129.19999999999999</v>
      </c>
      <c r="K82">
        <v>122.4</v>
      </c>
      <c r="L82">
        <v>97</v>
      </c>
      <c r="M82">
        <v>122.1</v>
      </c>
      <c r="N82">
        <v>118.1</v>
      </c>
      <c r="O82">
        <v>128.4</v>
      </c>
      <c r="P82">
        <v>123.4</v>
      </c>
      <c r="Q82">
        <f t="shared" si="3"/>
        <v>1569.1</v>
      </c>
      <c r="R82">
        <v>125.8</v>
      </c>
      <c r="S82">
        <v>124.3</v>
      </c>
      <c r="T82">
        <v>120.4</v>
      </c>
      <c r="U82">
        <v>123.7</v>
      </c>
      <c r="V82">
        <v>368.4</v>
      </c>
      <c r="W82">
        <v>118.6</v>
      </c>
      <c r="X82">
        <v>118.3</v>
      </c>
      <c r="Y82">
        <v>119.2</v>
      </c>
      <c r="Z82">
        <f t="shared" si="4"/>
        <v>237.8</v>
      </c>
      <c r="AA82">
        <v>116.7</v>
      </c>
      <c r="AB82">
        <v>109.9</v>
      </c>
      <c r="AC82">
        <v>115.4</v>
      </c>
      <c r="AD82">
        <v>120.1</v>
      </c>
      <c r="AE82">
        <v>111</v>
      </c>
      <c r="AF82">
        <f t="shared" si="5"/>
        <v>227.7</v>
      </c>
      <c r="AG82">
        <v>114.7</v>
      </c>
      <c r="AH82">
        <v>120.2</v>
      </c>
    </row>
    <row r="83" spans="1:34" x14ac:dyDescent="0.35">
      <c r="A83" t="s">
        <v>28</v>
      </c>
      <c r="B83">
        <v>2015</v>
      </c>
      <c r="C83" t="s">
        <v>34</v>
      </c>
      <c r="D83">
        <v>123.3</v>
      </c>
      <c r="E83">
        <v>125.5</v>
      </c>
      <c r="F83">
        <v>117.2</v>
      </c>
      <c r="G83">
        <v>126.8</v>
      </c>
      <c r="H83">
        <v>111.9</v>
      </c>
      <c r="I83">
        <v>134.19999999999999</v>
      </c>
      <c r="J83">
        <v>127.5</v>
      </c>
      <c r="K83">
        <v>121.5</v>
      </c>
      <c r="L83">
        <v>97.8</v>
      </c>
      <c r="M83">
        <v>119.8</v>
      </c>
      <c r="N83">
        <v>119.4</v>
      </c>
      <c r="O83">
        <v>128.69999999999999</v>
      </c>
      <c r="P83">
        <v>123.6</v>
      </c>
      <c r="Q83">
        <f t="shared" si="3"/>
        <v>1577.2</v>
      </c>
      <c r="R83">
        <v>125.7</v>
      </c>
      <c r="S83">
        <v>126.4</v>
      </c>
      <c r="T83">
        <v>123.3</v>
      </c>
      <c r="U83">
        <v>126</v>
      </c>
      <c r="V83">
        <v>375.7</v>
      </c>
      <c r="W83">
        <v>119.2</v>
      </c>
      <c r="X83">
        <v>121.2</v>
      </c>
      <c r="Y83">
        <v>120.9</v>
      </c>
      <c r="Z83">
        <f t="shared" si="4"/>
        <v>240.10000000000002</v>
      </c>
      <c r="AA83">
        <v>118.6</v>
      </c>
      <c r="AB83">
        <v>111.9</v>
      </c>
      <c r="AC83">
        <v>116.2</v>
      </c>
      <c r="AD83">
        <v>119.9</v>
      </c>
      <c r="AE83">
        <v>111.6</v>
      </c>
      <c r="AF83">
        <f t="shared" si="5"/>
        <v>230.2</v>
      </c>
      <c r="AG83">
        <v>116</v>
      </c>
      <c r="AH83">
        <v>121.5</v>
      </c>
    </row>
    <row r="84" spans="1:34" x14ac:dyDescent="0.35">
      <c r="A84" t="s">
        <v>30</v>
      </c>
      <c r="B84">
        <v>2015</v>
      </c>
      <c r="C84" t="s">
        <v>34</v>
      </c>
      <c r="D84">
        <v>123.8</v>
      </c>
      <c r="E84">
        <v>128.19999999999999</v>
      </c>
      <c r="F84">
        <v>110</v>
      </c>
      <c r="G84">
        <v>126.3</v>
      </c>
      <c r="H84">
        <v>104.5</v>
      </c>
      <c r="I84">
        <v>130.6</v>
      </c>
      <c r="J84">
        <v>130.80000000000001</v>
      </c>
      <c r="K84">
        <v>131.30000000000001</v>
      </c>
      <c r="L84">
        <v>91.6</v>
      </c>
      <c r="M84">
        <v>127.7</v>
      </c>
      <c r="N84">
        <v>117.2</v>
      </c>
      <c r="O84">
        <v>129.5</v>
      </c>
      <c r="P84">
        <v>124.6</v>
      </c>
      <c r="Q84">
        <f t="shared" si="3"/>
        <v>1576.1</v>
      </c>
      <c r="R84">
        <v>130.1</v>
      </c>
      <c r="S84">
        <v>122.1</v>
      </c>
      <c r="T84">
        <v>117.2</v>
      </c>
      <c r="U84">
        <v>121.3</v>
      </c>
      <c r="V84">
        <v>360.6</v>
      </c>
      <c r="W84">
        <v>119.2</v>
      </c>
      <c r="X84">
        <v>114.7</v>
      </c>
      <c r="Y84">
        <v>118.4</v>
      </c>
      <c r="Z84">
        <f t="shared" si="4"/>
        <v>237.60000000000002</v>
      </c>
      <c r="AA84">
        <v>114.6</v>
      </c>
      <c r="AB84">
        <v>108.4</v>
      </c>
      <c r="AC84">
        <v>115.6</v>
      </c>
      <c r="AD84">
        <v>121.7</v>
      </c>
      <c r="AE84">
        <v>111.8</v>
      </c>
      <c r="AF84">
        <f t="shared" si="5"/>
        <v>226.39999999999998</v>
      </c>
      <c r="AG84">
        <v>114.2</v>
      </c>
      <c r="AH84">
        <v>119.7</v>
      </c>
    </row>
    <row r="85" spans="1:34" x14ac:dyDescent="0.35">
      <c r="A85" t="s">
        <v>31</v>
      </c>
      <c r="B85">
        <v>2015</v>
      </c>
      <c r="C85" t="s">
        <v>34</v>
      </c>
      <c r="D85">
        <v>123.5</v>
      </c>
      <c r="E85">
        <v>126.4</v>
      </c>
      <c r="F85">
        <v>114.4</v>
      </c>
      <c r="G85">
        <v>126.6</v>
      </c>
      <c r="H85">
        <v>109.2</v>
      </c>
      <c r="I85">
        <v>132.5</v>
      </c>
      <c r="J85">
        <v>128.6</v>
      </c>
      <c r="K85">
        <v>124.8</v>
      </c>
      <c r="L85">
        <v>95.7</v>
      </c>
      <c r="M85">
        <v>122.4</v>
      </c>
      <c r="N85">
        <v>118.5</v>
      </c>
      <c r="O85">
        <v>129.1</v>
      </c>
      <c r="P85">
        <v>124</v>
      </c>
      <c r="Q85">
        <f t="shared" si="3"/>
        <v>1575.7</v>
      </c>
      <c r="R85">
        <v>126.9</v>
      </c>
      <c r="S85">
        <v>124.7</v>
      </c>
      <c r="T85">
        <v>120.8</v>
      </c>
      <c r="U85">
        <v>124.1</v>
      </c>
      <c r="V85">
        <v>369.6</v>
      </c>
      <c r="W85">
        <v>119.2</v>
      </c>
      <c r="X85">
        <v>118.7</v>
      </c>
      <c r="Y85">
        <v>119.7</v>
      </c>
      <c r="Z85">
        <f t="shared" si="4"/>
        <v>238.9</v>
      </c>
      <c r="AA85">
        <v>117.1</v>
      </c>
      <c r="AB85">
        <v>110.1</v>
      </c>
      <c r="AC85">
        <v>115.9</v>
      </c>
      <c r="AD85">
        <v>121</v>
      </c>
      <c r="AE85">
        <v>111.7</v>
      </c>
      <c r="AF85">
        <f t="shared" si="5"/>
        <v>228.8</v>
      </c>
      <c r="AG85">
        <v>115.1</v>
      </c>
      <c r="AH85">
        <v>120.7</v>
      </c>
    </row>
    <row r="86" spans="1:34" x14ac:dyDescent="0.35">
      <c r="A86" t="s">
        <v>28</v>
      </c>
      <c r="B86">
        <v>2015</v>
      </c>
      <c r="C86" t="s">
        <v>35</v>
      </c>
      <c r="D86">
        <v>123.5</v>
      </c>
      <c r="E86">
        <v>127.1</v>
      </c>
      <c r="F86">
        <v>117.3</v>
      </c>
      <c r="G86">
        <v>127.7</v>
      </c>
      <c r="H86">
        <v>112.5</v>
      </c>
      <c r="I86">
        <v>134.1</v>
      </c>
      <c r="J86">
        <v>128.5</v>
      </c>
      <c r="K86">
        <v>124.3</v>
      </c>
      <c r="L86">
        <v>97.6</v>
      </c>
      <c r="M86">
        <v>120.7</v>
      </c>
      <c r="N86">
        <v>120.2</v>
      </c>
      <c r="O86">
        <v>129.80000000000001</v>
      </c>
      <c r="P86">
        <v>124.4</v>
      </c>
      <c r="Q86">
        <f t="shared" si="3"/>
        <v>1587.7</v>
      </c>
      <c r="R86">
        <v>126.7</v>
      </c>
      <c r="S86">
        <v>127.3</v>
      </c>
      <c r="T86">
        <v>124.1</v>
      </c>
      <c r="U86">
        <v>126.8</v>
      </c>
      <c r="V86">
        <v>378.2</v>
      </c>
      <c r="W86">
        <v>119.6</v>
      </c>
      <c r="X86">
        <v>121.9</v>
      </c>
      <c r="Y86">
        <v>121.5</v>
      </c>
      <c r="Z86">
        <f t="shared" si="4"/>
        <v>241.1</v>
      </c>
      <c r="AA86">
        <v>119.4</v>
      </c>
      <c r="AB86">
        <v>113.3</v>
      </c>
      <c r="AC86">
        <v>116.7</v>
      </c>
      <c r="AD86">
        <v>120.5</v>
      </c>
      <c r="AE86">
        <v>112.3</v>
      </c>
      <c r="AF86">
        <f t="shared" si="5"/>
        <v>231.7</v>
      </c>
      <c r="AG86">
        <v>116.9</v>
      </c>
      <c r="AH86">
        <v>122.4</v>
      </c>
    </row>
    <row r="87" spans="1:34" x14ac:dyDescent="0.35">
      <c r="A87" t="s">
        <v>30</v>
      </c>
      <c r="B87">
        <v>2015</v>
      </c>
      <c r="C87" t="s">
        <v>35</v>
      </c>
      <c r="D87">
        <v>123.8</v>
      </c>
      <c r="E87">
        <v>129.69999999999999</v>
      </c>
      <c r="F87">
        <v>111.3</v>
      </c>
      <c r="G87">
        <v>126.6</v>
      </c>
      <c r="H87">
        <v>105.2</v>
      </c>
      <c r="I87">
        <v>130.80000000000001</v>
      </c>
      <c r="J87">
        <v>135.6</v>
      </c>
      <c r="K87">
        <v>142.6</v>
      </c>
      <c r="L87">
        <v>90.8</v>
      </c>
      <c r="M87">
        <v>128.80000000000001</v>
      </c>
      <c r="N87">
        <v>117.7</v>
      </c>
      <c r="O87">
        <v>129.9</v>
      </c>
      <c r="P87">
        <v>126.1</v>
      </c>
      <c r="Q87">
        <f t="shared" si="3"/>
        <v>1598.9</v>
      </c>
      <c r="R87">
        <v>131.30000000000001</v>
      </c>
      <c r="S87">
        <v>122.4</v>
      </c>
      <c r="T87">
        <v>117.4</v>
      </c>
      <c r="U87">
        <v>121.6</v>
      </c>
      <c r="V87">
        <v>361.4</v>
      </c>
      <c r="W87">
        <v>119.6</v>
      </c>
      <c r="X87">
        <v>114.9</v>
      </c>
      <c r="Y87">
        <v>118.7</v>
      </c>
      <c r="Z87">
        <f t="shared" si="4"/>
        <v>238.3</v>
      </c>
      <c r="AA87">
        <v>114.9</v>
      </c>
      <c r="AB87">
        <v>110.8</v>
      </c>
      <c r="AC87">
        <v>116</v>
      </c>
      <c r="AD87">
        <v>122</v>
      </c>
      <c r="AE87">
        <v>112.4</v>
      </c>
      <c r="AF87">
        <f t="shared" si="5"/>
        <v>227.3</v>
      </c>
      <c r="AG87">
        <v>115.2</v>
      </c>
      <c r="AH87">
        <v>120.7</v>
      </c>
    </row>
    <row r="88" spans="1:34" x14ac:dyDescent="0.35">
      <c r="A88" t="s">
        <v>31</v>
      </c>
      <c r="B88">
        <v>2015</v>
      </c>
      <c r="C88" t="s">
        <v>35</v>
      </c>
      <c r="D88">
        <v>123.6</v>
      </c>
      <c r="E88">
        <v>128</v>
      </c>
      <c r="F88">
        <v>115</v>
      </c>
      <c r="G88">
        <v>127.3</v>
      </c>
      <c r="H88">
        <v>109.8</v>
      </c>
      <c r="I88">
        <v>132.6</v>
      </c>
      <c r="J88">
        <v>130.9</v>
      </c>
      <c r="K88">
        <v>130.5</v>
      </c>
      <c r="L88">
        <v>95.3</v>
      </c>
      <c r="M88">
        <v>123.4</v>
      </c>
      <c r="N88">
        <v>119.2</v>
      </c>
      <c r="O88">
        <v>129.80000000000001</v>
      </c>
      <c r="P88">
        <v>125</v>
      </c>
      <c r="Q88">
        <f t="shared" si="3"/>
        <v>1590.4</v>
      </c>
      <c r="R88">
        <v>127.9</v>
      </c>
      <c r="S88">
        <v>125.4</v>
      </c>
      <c r="T88">
        <v>121.3</v>
      </c>
      <c r="U88">
        <v>124.7</v>
      </c>
      <c r="V88">
        <v>371.4</v>
      </c>
      <c r="W88">
        <v>119.6</v>
      </c>
      <c r="X88">
        <v>119.2</v>
      </c>
      <c r="Y88">
        <v>120.2</v>
      </c>
      <c r="Z88">
        <f t="shared" si="4"/>
        <v>239.8</v>
      </c>
      <c r="AA88">
        <v>117.7</v>
      </c>
      <c r="AB88">
        <v>112</v>
      </c>
      <c r="AC88">
        <v>116.3</v>
      </c>
      <c r="AD88">
        <v>121.4</v>
      </c>
      <c r="AE88">
        <v>112.3</v>
      </c>
      <c r="AF88">
        <f t="shared" si="5"/>
        <v>230</v>
      </c>
      <c r="AG88">
        <v>116.1</v>
      </c>
      <c r="AH88">
        <v>121.6</v>
      </c>
    </row>
    <row r="89" spans="1:34" x14ac:dyDescent="0.35">
      <c r="A89" t="s">
        <v>28</v>
      </c>
      <c r="B89">
        <v>2015</v>
      </c>
      <c r="C89" t="s">
        <v>36</v>
      </c>
      <c r="D89">
        <v>124.1</v>
      </c>
      <c r="E89">
        <v>130.4</v>
      </c>
      <c r="F89">
        <v>122.1</v>
      </c>
      <c r="G89">
        <v>128.69999999999999</v>
      </c>
      <c r="H89">
        <v>114.1</v>
      </c>
      <c r="I89">
        <v>133.19999999999999</v>
      </c>
      <c r="J89">
        <v>135.19999999999999</v>
      </c>
      <c r="K89">
        <v>131.9</v>
      </c>
      <c r="L89">
        <v>96.3</v>
      </c>
      <c r="M89">
        <v>123</v>
      </c>
      <c r="N89">
        <v>121.1</v>
      </c>
      <c r="O89">
        <v>131.19999999999999</v>
      </c>
      <c r="P89">
        <v>126.6</v>
      </c>
      <c r="Q89">
        <f t="shared" si="3"/>
        <v>1617.8999999999999</v>
      </c>
      <c r="R89">
        <v>128.19999999999999</v>
      </c>
      <c r="S89">
        <v>128.4</v>
      </c>
      <c r="T89">
        <v>125.1</v>
      </c>
      <c r="U89">
        <v>128</v>
      </c>
      <c r="V89">
        <v>381.5</v>
      </c>
      <c r="W89">
        <v>119</v>
      </c>
      <c r="X89">
        <v>122.6</v>
      </c>
      <c r="Y89">
        <v>122.8</v>
      </c>
      <c r="Z89">
        <f t="shared" si="4"/>
        <v>241.8</v>
      </c>
      <c r="AA89">
        <v>120.4</v>
      </c>
      <c r="AB89">
        <v>114.2</v>
      </c>
      <c r="AC89">
        <v>117.9</v>
      </c>
      <c r="AD89">
        <v>122</v>
      </c>
      <c r="AE89">
        <v>113</v>
      </c>
      <c r="AF89">
        <f t="shared" si="5"/>
        <v>233.4</v>
      </c>
      <c r="AG89">
        <v>117.9</v>
      </c>
      <c r="AH89">
        <v>124.1</v>
      </c>
    </row>
    <row r="90" spans="1:34" x14ac:dyDescent="0.35">
      <c r="A90" t="s">
        <v>30</v>
      </c>
      <c r="B90">
        <v>2015</v>
      </c>
      <c r="C90" t="s">
        <v>36</v>
      </c>
      <c r="D90">
        <v>123.6</v>
      </c>
      <c r="E90">
        <v>134.4</v>
      </c>
      <c r="F90">
        <v>120.9</v>
      </c>
      <c r="G90">
        <v>127.3</v>
      </c>
      <c r="H90">
        <v>106</v>
      </c>
      <c r="I90">
        <v>132.30000000000001</v>
      </c>
      <c r="J90">
        <v>146.69999999999999</v>
      </c>
      <c r="K90">
        <v>148.1</v>
      </c>
      <c r="L90">
        <v>89.8</v>
      </c>
      <c r="M90">
        <v>130.5</v>
      </c>
      <c r="N90">
        <v>118</v>
      </c>
      <c r="O90">
        <v>130.5</v>
      </c>
      <c r="P90">
        <v>128.5</v>
      </c>
      <c r="Q90">
        <f t="shared" si="3"/>
        <v>1636.6</v>
      </c>
      <c r="R90">
        <v>132.1</v>
      </c>
      <c r="S90">
        <v>123.2</v>
      </c>
      <c r="T90">
        <v>117.6</v>
      </c>
      <c r="U90">
        <v>122.3</v>
      </c>
      <c r="V90">
        <v>363.1</v>
      </c>
      <c r="W90">
        <v>119</v>
      </c>
      <c r="X90">
        <v>115.1</v>
      </c>
      <c r="Y90">
        <v>119.2</v>
      </c>
      <c r="Z90">
        <f t="shared" si="4"/>
        <v>238.2</v>
      </c>
      <c r="AA90">
        <v>115.4</v>
      </c>
      <c r="AB90">
        <v>111.7</v>
      </c>
      <c r="AC90">
        <v>116.2</v>
      </c>
      <c r="AD90">
        <v>123.8</v>
      </c>
      <c r="AE90">
        <v>112.5</v>
      </c>
      <c r="AF90">
        <f t="shared" si="5"/>
        <v>227.9</v>
      </c>
      <c r="AG90">
        <v>116</v>
      </c>
      <c r="AH90">
        <v>121.7</v>
      </c>
    </row>
    <row r="91" spans="1:34" x14ac:dyDescent="0.35">
      <c r="A91" t="s">
        <v>31</v>
      </c>
      <c r="B91">
        <v>2015</v>
      </c>
      <c r="C91" t="s">
        <v>36</v>
      </c>
      <c r="D91">
        <v>123.9</v>
      </c>
      <c r="E91">
        <v>131.80000000000001</v>
      </c>
      <c r="F91">
        <v>121.6</v>
      </c>
      <c r="G91">
        <v>128.19999999999999</v>
      </c>
      <c r="H91">
        <v>111.1</v>
      </c>
      <c r="I91">
        <v>132.80000000000001</v>
      </c>
      <c r="J91">
        <v>139.1</v>
      </c>
      <c r="K91">
        <v>137.4</v>
      </c>
      <c r="L91">
        <v>94.1</v>
      </c>
      <c r="M91">
        <v>125.5</v>
      </c>
      <c r="N91">
        <v>119.8</v>
      </c>
      <c r="O91">
        <v>130.9</v>
      </c>
      <c r="P91">
        <v>127.3</v>
      </c>
      <c r="Q91">
        <f t="shared" si="3"/>
        <v>1623.5</v>
      </c>
      <c r="R91">
        <v>129.19999999999999</v>
      </c>
      <c r="S91">
        <v>126.4</v>
      </c>
      <c r="T91">
        <v>122</v>
      </c>
      <c r="U91">
        <v>125.7</v>
      </c>
      <c r="V91">
        <v>374.1</v>
      </c>
      <c r="W91">
        <v>119</v>
      </c>
      <c r="X91">
        <v>119.8</v>
      </c>
      <c r="Y91">
        <v>121.1</v>
      </c>
      <c r="Z91">
        <f t="shared" si="4"/>
        <v>240.1</v>
      </c>
      <c r="AA91">
        <v>118.5</v>
      </c>
      <c r="AB91">
        <v>112.9</v>
      </c>
      <c r="AC91">
        <v>116.9</v>
      </c>
      <c r="AD91">
        <v>123.1</v>
      </c>
      <c r="AE91">
        <v>112.8</v>
      </c>
      <c r="AF91">
        <f t="shared" si="5"/>
        <v>231.3</v>
      </c>
      <c r="AG91">
        <v>117</v>
      </c>
      <c r="AH91">
        <v>123</v>
      </c>
    </row>
    <row r="92" spans="1:34" x14ac:dyDescent="0.35">
      <c r="A92" t="s">
        <v>28</v>
      </c>
      <c r="B92">
        <v>2015</v>
      </c>
      <c r="C92" t="s">
        <v>37</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f t="shared" si="3"/>
        <v>1625.3</v>
      </c>
      <c r="R92">
        <v>129.4</v>
      </c>
      <c r="S92">
        <v>128.80000000000001</v>
      </c>
      <c r="T92">
        <v>125.5</v>
      </c>
      <c r="U92">
        <v>128.30000000000001</v>
      </c>
      <c r="V92">
        <v>382.6</v>
      </c>
      <c r="W92">
        <v>119.9</v>
      </c>
      <c r="X92">
        <v>123</v>
      </c>
      <c r="Y92">
        <v>123</v>
      </c>
      <c r="Z92">
        <f t="shared" si="4"/>
        <v>242.9</v>
      </c>
      <c r="AA92">
        <v>120.8</v>
      </c>
      <c r="AB92">
        <v>114.1</v>
      </c>
      <c r="AC92">
        <v>118</v>
      </c>
      <c r="AD92">
        <v>122.9</v>
      </c>
      <c r="AE92">
        <v>112.7</v>
      </c>
      <c r="AF92">
        <f t="shared" si="5"/>
        <v>233.5</v>
      </c>
      <c r="AG92">
        <v>118.1</v>
      </c>
      <c r="AH92">
        <v>124.7</v>
      </c>
    </row>
    <row r="93" spans="1:34" x14ac:dyDescent="0.35">
      <c r="A93" t="s">
        <v>30</v>
      </c>
      <c r="B93">
        <v>2015</v>
      </c>
      <c r="C93" t="s">
        <v>37</v>
      </c>
      <c r="D93">
        <v>123.2</v>
      </c>
      <c r="E93">
        <v>134.30000000000001</v>
      </c>
      <c r="F93">
        <v>119.5</v>
      </c>
      <c r="G93">
        <v>127.7</v>
      </c>
      <c r="H93">
        <v>106.3</v>
      </c>
      <c r="I93">
        <v>132.80000000000001</v>
      </c>
      <c r="J93">
        <v>153.5</v>
      </c>
      <c r="K93">
        <v>149.5</v>
      </c>
      <c r="L93">
        <v>85.7</v>
      </c>
      <c r="M93">
        <v>131.5</v>
      </c>
      <c r="N93">
        <v>118.3</v>
      </c>
      <c r="O93">
        <v>131.1</v>
      </c>
      <c r="P93">
        <v>129.5</v>
      </c>
      <c r="Q93">
        <f t="shared" si="3"/>
        <v>1642.8999999999999</v>
      </c>
      <c r="R93">
        <v>133.1</v>
      </c>
      <c r="S93">
        <v>123.5</v>
      </c>
      <c r="T93">
        <v>117.9</v>
      </c>
      <c r="U93">
        <v>122.7</v>
      </c>
      <c r="V93">
        <v>364.1</v>
      </c>
      <c r="W93">
        <v>119.9</v>
      </c>
      <c r="X93">
        <v>115.3</v>
      </c>
      <c r="Y93">
        <v>119.5</v>
      </c>
      <c r="Z93">
        <f t="shared" si="4"/>
        <v>239.4</v>
      </c>
      <c r="AA93">
        <v>116</v>
      </c>
      <c r="AB93">
        <v>111.5</v>
      </c>
      <c r="AC93">
        <v>116.6</v>
      </c>
      <c r="AD93">
        <v>125.4</v>
      </c>
      <c r="AE93">
        <v>111.7</v>
      </c>
      <c r="AF93">
        <f t="shared" si="5"/>
        <v>227.7</v>
      </c>
      <c r="AG93">
        <v>116.3</v>
      </c>
      <c r="AH93">
        <v>122.4</v>
      </c>
    </row>
    <row r="94" spans="1:34" x14ac:dyDescent="0.35">
      <c r="A94" t="s">
        <v>31</v>
      </c>
      <c r="B94">
        <v>2015</v>
      </c>
      <c r="C94" t="s">
        <v>37</v>
      </c>
      <c r="D94">
        <v>123.7</v>
      </c>
      <c r="E94">
        <v>132.5</v>
      </c>
      <c r="F94">
        <v>121</v>
      </c>
      <c r="G94">
        <v>128.30000000000001</v>
      </c>
      <c r="H94">
        <v>110.9</v>
      </c>
      <c r="I94">
        <v>133.1</v>
      </c>
      <c r="J94">
        <v>145.1</v>
      </c>
      <c r="K94">
        <v>139.1</v>
      </c>
      <c r="L94">
        <v>91.3</v>
      </c>
      <c r="M94">
        <v>126.1</v>
      </c>
      <c r="N94">
        <v>119.9</v>
      </c>
      <c r="O94">
        <v>131.4</v>
      </c>
      <c r="P94">
        <v>128.19999999999999</v>
      </c>
      <c r="Q94">
        <f t="shared" si="3"/>
        <v>1630.6000000000001</v>
      </c>
      <c r="R94">
        <v>130.4</v>
      </c>
      <c r="S94">
        <v>126.7</v>
      </c>
      <c r="T94">
        <v>122.3</v>
      </c>
      <c r="U94">
        <v>126.1</v>
      </c>
      <c r="V94">
        <v>375.1</v>
      </c>
      <c r="W94">
        <v>119.9</v>
      </c>
      <c r="X94">
        <v>120.1</v>
      </c>
      <c r="Y94">
        <v>121.3</v>
      </c>
      <c r="Z94">
        <f t="shared" si="4"/>
        <v>241.2</v>
      </c>
      <c r="AA94">
        <v>119</v>
      </c>
      <c r="AB94">
        <v>112.7</v>
      </c>
      <c r="AC94">
        <v>117.2</v>
      </c>
      <c r="AD94">
        <v>124.4</v>
      </c>
      <c r="AE94">
        <v>112.3</v>
      </c>
      <c r="AF94">
        <f t="shared" si="5"/>
        <v>231.3</v>
      </c>
      <c r="AG94">
        <v>117.2</v>
      </c>
      <c r="AH94">
        <v>123.6</v>
      </c>
    </row>
    <row r="95" spans="1:34" x14ac:dyDescent="0.35">
      <c r="A95" t="s">
        <v>28</v>
      </c>
      <c r="B95">
        <v>2015</v>
      </c>
      <c r="C95" t="s">
        <v>38</v>
      </c>
      <c r="D95">
        <v>124.7</v>
      </c>
      <c r="E95">
        <v>131.30000000000001</v>
      </c>
      <c r="F95">
        <v>121.3</v>
      </c>
      <c r="G95">
        <v>128.80000000000001</v>
      </c>
      <c r="H95">
        <v>114</v>
      </c>
      <c r="I95">
        <v>134.19999999999999</v>
      </c>
      <c r="J95">
        <v>153.6</v>
      </c>
      <c r="K95">
        <v>137.9</v>
      </c>
      <c r="L95">
        <v>93.1</v>
      </c>
      <c r="M95">
        <v>123.9</v>
      </c>
      <c r="N95">
        <v>121.5</v>
      </c>
      <c r="O95">
        <v>132.5</v>
      </c>
      <c r="P95">
        <v>129.80000000000001</v>
      </c>
      <c r="Q95">
        <f t="shared" si="3"/>
        <v>1646.6</v>
      </c>
      <c r="R95">
        <v>130.1</v>
      </c>
      <c r="S95">
        <v>129.5</v>
      </c>
      <c r="T95">
        <v>126.3</v>
      </c>
      <c r="U95">
        <v>129</v>
      </c>
      <c r="V95">
        <v>384.8</v>
      </c>
      <c r="W95">
        <v>120.9</v>
      </c>
      <c r="X95">
        <v>123.8</v>
      </c>
      <c r="Y95">
        <v>123.7</v>
      </c>
      <c r="Z95">
        <f t="shared" si="4"/>
        <v>244.60000000000002</v>
      </c>
      <c r="AA95">
        <v>121.1</v>
      </c>
      <c r="AB95">
        <v>113.6</v>
      </c>
      <c r="AC95">
        <v>118.5</v>
      </c>
      <c r="AD95">
        <v>123.6</v>
      </c>
      <c r="AE95">
        <v>112.5</v>
      </c>
      <c r="AF95">
        <f t="shared" si="5"/>
        <v>233.6</v>
      </c>
      <c r="AG95">
        <v>118.2</v>
      </c>
      <c r="AH95">
        <v>126.1</v>
      </c>
    </row>
    <row r="96" spans="1:34" x14ac:dyDescent="0.35">
      <c r="A96" t="s">
        <v>30</v>
      </c>
      <c r="B96">
        <v>2015</v>
      </c>
      <c r="C96" t="s">
        <v>38</v>
      </c>
      <c r="D96">
        <v>123.1</v>
      </c>
      <c r="E96">
        <v>131.69999999999999</v>
      </c>
      <c r="F96">
        <v>118.1</v>
      </c>
      <c r="G96">
        <v>128</v>
      </c>
      <c r="H96">
        <v>106.8</v>
      </c>
      <c r="I96">
        <v>130.1</v>
      </c>
      <c r="J96">
        <v>165.5</v>
      </c>
      <c r="K96">
        <v>156</v>
      </c>
      <c r="L96">
        <v>85.3</v>
      </c>
      <c r="M96">
        <v>132.69999999999999</v>
      </c>
      <c r="N96">
        <v>118.8</v>
      </c>
      <c r="O96">
        <v>131.69999999999999</v>
      </c>
      <c r="P96">
        <v>131.1</v>
      </c>
      <c r="Q96">
        <f t="shared" si="3"/>
        <v>1658.8999999999999</v>
      </c>
      <c r="R96">
        <v>134.19999999999999</v>
      </c>
      <c r="S96">
        <v>123.7</v>
      </c>
      <c r="T96">
        <v>118.2</v>
      </c>
      <c r="U96">
        <v>122.9</v>
      </c>
      <c r="V96">
        <v>364.8</v>
      </c>
      <c r="W96">
        <v>120.9</v>
      </c>
      <c r="X96">
        <v>115.3</v>
      </c>
      <c r="Y96">
        <v>120</v>
      </c>
      <c r="Z96">
        <f t="shared" si="4"/>
        <v>240.9</v>
      </c>
      <c r="AA96">
        <v>116.6</v>
      </c>
      <c r="AB96">
        <v>109.9</v>
      </c>
      <c r="AC96">
        <v>117.2</v>
      </c>
      <c r="AD96">
        <v>126.2</v>
      </c>
      <c r="AE96">
        <v>112</v>
      </c>
      <c r="AF96">
        <f t="shared" si="5"/>
        <v>228.6</v>
      </c>
      <c r="AG96">
        <v>116.2</v>
      </c>
      <c r="AH96">
        <v>123.2</v>
      </c>
    </row>
    <row r="97" spans="1:34" x14ac:dyDescent="0.35">
      <c r="A97" t="s">
        <v>31</v>
      </c>
      <c r="B97">
        <v>2015</v>
      </c>
      <c r="C97" t="s">
        <v>38</v>
      </c>
      <c r="D97">
        <v>124.2</v>
      </c>
      <c r="E97">
        <v>131.4</v>
      </c>
      <c r="F97">
        <v>120.1</v>
      </c>
      <c r="G97">
        <v>128.5</v>
      </c>
      <c r="H97">
        <v>111.4</v>
      </c>
      <c r="I97">
        <v>132.30000000000001</v>
      </c>
      <c r="J97">
        <v>157.6</v>
      </c>
      <c r="K97">
        <v>144</v>
      </c>
      <c r="L97">
        <v>90.5</v>
      </c>
      <c r="M97">
        <v>126.8</v>
      </c>
      <c r="N97">
        <v>120.4</v>
      </c>
      <c r="O97">
        <v>132.1</v>
      </c>
      <c r="P97">
        <v>130.30000000000001</v>
      </c>
      <c r="Q97">
        <f t="shared" si="3"/>
        <v>1649.6</v>
      </c>
      <c r="R97">
        <v>131.19999999999999</v>
      </c>
      <c r="S97">
        <v>127.2</v>
      </c>
      <c r="T97">
        <v>122.9</v>
      </c>
      <c r="U97">
        <v>126.6</v>
      </c>
      <c r="V97">
        <v>376.70000000000005</v>
      </c>
      <c r="W97">
        <v>120.9</v>
      </c>
      <c r="X97">
        <v>120.6</v>
      </c>
      <c r="Y97">
        <v>122</v>
      </c>
      <c r="Z97">
        <f t="shared" si="4"/>
        <v>242.9</v>
      </c>
      <c r="AA97">
        <v>119.4</v>
      </c>
      <c r="AB97">
        <v>111.7</v>
      </c>
      <c r="AC97">
        <v>117.8</v>
      </c>
      <c r="AD97">
        <v>125.1</v>
      </c>
      <c r="AE97">
        <v>112.3</v>
      </c>
      <c r="AF97">
        <f t="shared" si="5"/>
        <v>231.7</v>
      </c>
      <c r="AG97">
        <v>117.2</v>
      </c>
      <c r="AH97">
        <v>124.8</v>
      </c>
    </row>
    <row r="98" spans="1:34" x14ac:dyDescent="0.35">
      <c r="A98" t="s">
        <v>28</v>
      </c>
      <c r="B98">
        <v>2015</v>
      </c>
      <c r="C98" t="s">
        <v>39</v>
      </c>
      <c r="D98">
        <v>125.1</v>
      </c>
      <c r="E98">
        <v>131.1</v>
      </c>
      <c r="F98">
        <v>120.7</v>
      </c>
      <c r="G98">
        <v>129.19999999999999</v>
      </c>
      <c r="H98">
        <v>114.7</v>
      </c>
      <c r="I98">
        <v>132.30000000000001</v>
      </c>
      <c r="J98">
        <v>158.9</v>
      </c>
      <c r="K98">
        <v>142.1</v>
      </c>
      <c r="L98">
        <v>92.5</v>
      </c>
      <c r="M98">
        <v>125.4</v>
      </c>
      <c r="N98">
        <v>121.9</v>
      </c>
      <c r="O98">
        <v>132.69999999999999</v>
      </c>
      <c r="P98">
        <v>131</v>
      </c>
      <c r="Q98">
        <f t="shared" si="3"/>
        <v>1657.6000000000001</v>
      </c>
      <c r="R98">
        <v>131</v>
      </c>
      <c r="S98">
        <v>130.4</v>
      </c>
      <c r="T98">
        <v>126.8</v>
      </c>
      <c r="U98">
        <v>129.9</v>
      </c>
      <c r="V98">
        <v>387.1</v>
      </c>
      <c r="W98">
        <v>121.6</v>
      </c>
      <c r="X98">
        <v>123.7</v>
      </c>
      <c r="Y98">
        <v>124.5</v>
      </c>
      <c r="Z98">
        <f t="shared" si="4"/>
        <v>246.1</v>
      </c>
      <c r="AA98">
        <v>121.4</v>
      </c>
      <c r="AB98">
        <v>113.8</v>
      </c>
      <c r="AC98">
        <v>119.6</v>
      </c>
      <c r="AD98">
        <v>124.5</v>
      </c>
      <c r="AE98">
        <v>113.7</v>
      </c>
      <c r="AF98">
        <f t="shared" si="5"/>
        <v>235.10000000000002</v>
      </c>
      <c r="AG98">
        <v>118.8</v>
      </c>
      <c r="AH98">
        <v>127</v>
      </c>
    </row>
    <row r="99" spans="1:34" x14ac:dyDescent="0.35">
      <c r="A99" t="s">
        <v>30</v>
      </c>
      <c r="B99">
        <v>2015</v>
      </c>
      <c r="C99" t="s">
        <v>39</v>
      </c>
      <c r="D99">
        <v>123.4</v>
      </c>
      <c r="E99">
        <v>129</v>
      </c>
      <c r="F99">
        <v>115.6</v>
      </c>
      <c r="G99">
        <v>128.30000000000001</v>
      </c>
      <c r="H99">
        <v>107</v>
      </c>
      <c r="I99">
        <v>124</v>
      </c>
      <c r="J99">
        <v>168.5</v>
      </c>
      <c r="K99">
        <v>165.4</v>
      </c>
      <c r="L99">
        <v>86.3</v>
      </c>
      <c r="M99">
        <v>134.4</v>
      </c>
      <c r="N99">
        <v>119.1</v>
      </c>
      <c r="O99">
        <v>132.30000000000001</v>
      </c>
      <c r="P99">
        <v>131.5</v>
      </c>
      <c r="Q99">
        <f t="shared" si="3"/>
        <v>1664.8</v>
      </c>
      <c r="R99">
        <v>134.69999999999999</v>
      </c>
      <c r="S99">
        <v>124</v>
      </c>
      <c r="T99">
        <v>118.6</v>
      </c>
      <c r="U99">
        <v>123.2</v>
      </c>
      <c r="V99">
        <v>365.8</v>
      </c>
      <c r="W99">
        <v>121.6</v>
      </c>
      <c r="X99">
        <v>115.1</v>
      </c>
      <c r="Y99">
        <v>120.4</v>
      </c>
      <c r="Z99">
        <f t="shared" si="4"/>
        <v>242</v>
      </c>
      <c r="AA99">
        <v>117.1</v>
      </c>
      <c r="AB99">
        <v>109.1</v>
      </c>
      <c r="AC99">
        <v>117.3</v>
      </c>
      <c r="AD99">
        <v>126.5</v>
      </c>
      <c r="AE99">
        <v>112.9</v>
      </c>
      <c r="AF99">
        <f t="shared" si="5"/>
        <v>230</v>
      </c>
      <c r="AG99">
        <v>116.2</v>
      </c>
      <c r="AH99">
        <v>123.5</v>
      </c>
    </row>
    <row r="100" spans="1:34" x14ac:dyDescent="0.35">
      <c r="A100" t="s">
        <v>31</v>
      </c>
      <c r="B100">
        <v>2015</v>
      </c>
      <c r="C100" t="s">
        <v>39</v>
      </c>
      <c r="D100">
        <v>124.6</v>
      </c>
      <c r="E100">
        <v>130.4</v>
      </c>
      <c r="F100">
        <v>118.7</v>
      </c>
      <c r="G100">
        <v>128.9</v>
      </c>
      <c r="H100">
        <v>111.9</v>
      </c>
      <c r="I100">
        <v>128.4</v>
      </c>
      <c r="J100">
        <v>162.19999999999999</v>
      </c>
      <c r="K100">
        <v>150</v>
      </c>
      <c r="L100">
        <v>90.4</v>
      </c>
      <c r="M100">
        <v>128.4</v>
      </c>
      <c r="N100">
        <v>120.7</v>
      </c>
      <c r="O100">
        <v>132.5</v>
      </c>
      <c r="P100">
        <v>131.19999999999999</v>
      </c>
      <c r="Q100">
        <f t="shared" si="3"/>
        <v>1658.3000000000002</v>
      </c>
      <c r="R100">
        <v>132</v>
      </c>
      <c r="S100">
        <v>127.9</v>
      </c>
      <c r="T100">
        <v>123.4</v>
      </c>
      <c r="U100">
        <v>127.2</v>
      </c>
      <c r="V100">
        <v>378.5</v>
      </c>
      <c r="W100">
        <v>121.6</v>
      </c>
      <c r="X100">
        <v>120.4</v>
      </c>
      <c r="Y100">
        <v>122.6</v>
      </c>
      <c r="Z100">
        <f t="shared" si="4"/>
        <v>244.2</v>
      </c>
      <c r="AA100">
        <v>119.8</v>
      </c>
      <c r="AB100">
        <v>111.3</v>
      </c>
      <c r="AC100">
        <v>118.3</v>
      </c>
      <c r="AD100">
        <v>125.7</v>
      </c>
      <c r="AE100">
        <v>113.4</v>
      </c>
      <c r="AF100">
        <f t="shared" si="5"/>
        <v>233.2</v>
      </c>
      <c r="AG100">
        <v>117.5</v>
      </c>
      <c r="AH100">
        <v>125.4</v>
      </c>
    </row>
    <row r="101" spans="1:34" x14ac:dyDescent="0.35">
      <c r="A101" t="s">
        <v>28</v>
      </c>
      <c r="B101">
        <v>2015</v>
      </c>
      <c r="C101" t="s">
        <v>40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f t="shared" si="3"/>
        <v>1674.6</v>
      </c>
      <c r="R101">
        <v>131.5</v>
      </c>
      <c r="S101">
        <v>131.1</v>
      </c>
      <c r="T101">
        <v>127.3</v>
      </c>
      <c r="U101">
        <v>130.6</v>
      </c>
      <c r="V101">
        <v>389</v>
      </c>
      <c r="W101">
        <v>122.4</v>
      </c>
      <c r="X101">
        <v>124.4</v>
      </c>
      <c r="Y101">
        <v>125.1</v>
      </c>
      <c r="Z101">
        <f t="shared" si="4"/>
        <v>247.5</v>
      </c>
      <c r="AA101">
        <v>122</v>
      </c>
      <c r="AB101">
        <v>113.8</v>
      </c>
      <c r="AC101">
        <v>120.1</v>
      </c>
      <c r="AD101">
        <v>125.1</v>
      </c>
      <c r="AE101">
        <v>114.2</v>
      </c>
      <c r="AF101">
        <f t="shared" si="5"/>
        <v>236.2</v>
      </c>
      <c r="AG101">
        <v>119.2</v>
      </c>
      <c r="AH101">
        <v>127.7</v>
      </c>
    </row>
    <row r="102" spans="1:34" x14ac:dyDescent="0.35">
      <c r="A102" t="s">
        <v>30</v>
      </c>
      <c r="B102">
        <v>2015</v>
      </c>
      <c r="C102" t="s">
        <v>40</v>
      </c>
      <c r="D102">
        <v>123.6</v>
      </c>
      <c r="E102">
        <v>128.6</v>
      </c>
      <c r="F102">
        <v>115.9</v>
      </c>
      <c r="G102">
        <v>128.5</v>
      </c>
      <c r="H102">
        <v>109</v>
      </c>
      <c r="I102">
        <v>124.1</v>
      </c>
      <c r="J102">
        <v>165.8</v>
      </c>
      <c r="K102">
        <v>187.2</v>
      </c>
      <c r="L102">
        <v>89.4</v>
      </c>
      <c r="M102">
        <v>135.80000000000001</v>
      </c>
      <c r="N102">
        <v>119.4</v>
      </c>
      <c r="O102">
        <v>132.9</v>
      </c>
      <c r="P102">
        <v>132.6</v>
      </c>
      <c r="Q102">
        <f t="shared" si="3"/>
        <v>1692.8000000000002</v>
      </c>
      <c r="R102">
        <v>135.30000000000001</v>
      </c>
      <c r="S102">
        <v>124.4</v>
      </c>
      <c r="T102">
        <v>118.8</v>
      </c>
      <c r="U102">
        <v>123.6</v>
      </c>
      <c r="V102">
        <v>366.79999999999995</v>
      </c>
      <c r="W102">
        <v>122.4</v>
      </c>
      <c r="X102">
        <v>114.9</v>
      </c>
      <c r="Y102">
        <v>120.7</v>
      </c>
      <c r="Z102">
        <f t="shared" si="4"/>
        <v>243.10000000000002</v>
      </c>
      <c r="AA102">
        <v>117.7</v>
      </c>
      <c r="AB102">
        <v>109.3</v>
      </c>
      <c r="AC102">
        <v>117.7</v>
      </c>
      <c r="AD102">
        <v>126.5</v>
      </c>
      <c r="AE102">
        <v>113.5</v>
      </c>
      <c r="AF102">
        <f t="shared" si="5"/>
        <v>231.2</v>
      </c>
      <c r="AG102">
        <v>116.5</v>
      </c>
      <c r="AH102">
        <v>124.2</v>
      </c>
    </row>
    <row r="103" spans="1:34" x14ac:dyDescent="0.35">
      <c r="A103" t="s">
        <v>31</v>
      </c>
      <c r="B103">
        <v>2015</v>
      </c>
      <c r="C103" t="s">
        <v>40</v>
      </c>
      <c r="D103">
        <v>125</v>
      </c>
      <c r="E103">
        <v>129.80000000000001</v>
      </c>
      <c r="F103">
        <v>118.9</v>
      </c>
      <c r="G103">
        <v>129.1</v>
      </c>
      <c r="H103">
        <v>113.3</v>
      </c>
      <c r="I103">
        <v>129</v>
      </c>
      <c r="J103">
        <v>160.4</v>
      </c>
      <c r="K103">
        <v>165.3</v>
      </c>
      <c r="L103">
        <v>92.3</v>
      </c>
      <c r="M103">
        <v>129.69999999999999</v>
      </c>
      <c r="N103">
        <v>121.1</v>
      </c>
      <c r="O103">
        <v>133</v>
      </c>
      <c r="P103">
        <v>132.1</v>
      </c>
      <c r="Q103">
        <f t="shared" si="3"/>
        <v>1678.9999999999998</v>
      </c>
      <c r="R103">
        <v>132.5</v>
      </c>
      <c r="S103">
        <v>128.5</v>
      </c>
      <c r="T103">
        <v>123.8</v>
      </c>
      <c r="U103">
        <v>127.8</v>
      </c>
      <c r="V103">
        <v>380.1</v>
      </c>
      <c r="W103">
        <v>122.4</v>
      </c>
      <c r="X103">
        <v>120.8</v>
      </c>
      <c r="Y103">
        <v>123</v>
      </c>
      <c r="Z103">
        <f t="shared" si="4"/>
        <v>245.4</v>
      </c>
      <c r="AA103">
        <v>120.4</v>
      </c>
      <c r="AB103">
        <v>111.4</v>
      </c>
      <c r="AC103">
        <v>118.7</v>
      </c>
      <c r="AD103">
        <v>125.9</v>
      </c>
      <c r="AE103">
        <v>113.9</v>
      </c>
      <c r="AF103">
        <f t="shared" si="5"/>
        <v>234.3</v>
      </c>
      <c r="AG103">
        <v>117.9</v>
      </c>
      <c r="AH103">
        <v>126.1</v>
      </c>
    </row>
    <row r="104" spans="1:34" x14ac:dyDescent="0.35">
      <c r="A104" t="s">
        <v>28</v>
      </c>
      <c r="B104">
        <v>2015</v>
      </c>
      <c r="C104" t="s">
        <v>42</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f t="shared" si="3"/>
        <v>1686.3</v>
      </c>
      <c r="R104">
        <v>132.19999999999999</v>
      </c>
      <c r="S104">
        <v>132.1</v>
      </c>
      <c r="T104">
        <v>128.19999999999999</v>
      </c>
      <c r="U104">
        <v>131.5</v>
      </c>
      <c r="V104">
        <v>391.79999999999995</v>
      </c>
      <c r="W104">
        <v>122.9</v>
      </c>
      <c r="X104">
        <v>125.6</v>
      </c>
      <c r="Y104">
        <v>125.6</v>
      </c>
      <c r="Z104">
        <f t="shared" si="4"/>
        <v>248.5</v>
      </c>
      <c r="AA104">
        <v>122.6</v>
      </c>
      <c r="AB104">
        <v>114</v>
      </c>
      <c r="AC104">
        <v>120.9</v>
      </c>
      <c r="AD104">
        <v>125.8</v>
      </c>
      <c r="AE104">
        <v>114.2</v>
      </c>
      <c r="AF104">
        <f t="shared" si="5"/>
        <v>236.8</v>
      </c>
      <c r="AG104">
        <v>119.6</v>
      </c>
      <c r="AH104">
        <v>128.30000000000001</v>
      </c>
    </row>
    <row r="105" spans="1:34" x14ac:dyDescent="0.35">
      <c r="A105" t="s">
        <v>30</v>
      </c>
      <c r="B105">
        <v>2015</v>
      </c>
      <c r="C105" t="s">
        <v>42</v>
      </c>
      <c r="D105">
        <v>124</v>
      </c>
      <c r="E105">
        <v>129.80000000000001</v>
      </c>
      <c r="F105">
        <v>121.5</v>
      </c>
      <c r="G105">
        <v>128.6</v>
      </c>
      <c r="H105">
        <v>110</v>
      </c>
      <c r="I105">
        <v>123.7</v>
      </c>
      <c r="J105">
        <v>164.6</v>
      </c>
      <c r="K105">
        <v>191.6</v>
      </c>
      <c r="L105">
        <v>90.8</v>
      </c>
      <c r="M105">
        <v>137.1</v>
      </c>
      <c r="N105">
        <v>119.8</v>
      </c>
      <c r="O105">
        <v>133.69999999999999</v>
      </c>
      <c r="P105">
        <v>133.30000000000001</v>
      </c>
      <c r="Q105">
        <f t="shared" si="3"/>
        <v>1708.4999999999998</v>
      </c>
      <c r="R105">
        <v>137.6</v>
      </c>
      <c r="S105">
        <v>125</v>
      </c>
      <c r="T105">
        <v>119.3</v>
      </c>
      <c r="U105">
        <v>124.2</v>
      </c>
      <c r="V105">
        <v>368.5</v>
      </c>
      <c r="W105">
        <v>122.9</v>
      </c>
      <c r="X105">
        <v>115.1</v>
      </c>
      <c r="Y105">
        <v>121</v>
      </c>
      <c r="Z105">
        <f t="shared" si="4"/>
        <v>243.9</v>
      </c>
      <c r="AA105">
        <v>118.1</v>
      </c>
      <c r="AB105">
        <v>109.3</v>
      </c>
      <c r="AC105">
        <v>117.9</v>
      </c>
      <c r="AD105">
        <v>126.6</v>
      </c>
      <c r="AE105">
        <v>113.3</v>
      </c>
      <c r="AF105">
        <f t="shared" si="5"/>
        <v>231.39999999999998</v>
      </c>
      <c r="AG105">
        <v>116.6</v>
      </c>
      <c r="AH105">
        <v>124.6</v>
      </c>
    </row>
    <row r="106" spans="1:34" x14ac:dyDescent="0.35">
      <c r="A106" t="s">
        <v>31</v>
      </c>
      <c r="B106">
        <v>2015</v>
      </c>
      <c r="C106" t="s">
        <v>42</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f t="shared" si="3"/>
        <v>1692.1</v>
      </c>
      <c r="R106">
        <v>133.6</v>
      </c>
      <c r="S106">
        <v>129.30000000000001</v>
      </c>
      <c r="T106">
        <v>124.5</v>
      </c>
      <c r="U106">
        <v>128.6</v>
      </c>
      <c r="V106">
        <v>382.4</v>
      </c>
      <c r="W106">
        <v>122.9</v>
      </c>
      <c r="X106">
        <v>121.6</v>
      </c>
      <c r="Y106">
        <v>123.4</v>
      </c>
      <c r="Z106">
        <f t="shared" si="4"/>
        <v>246.3</v>
      </c>
      <c r="AA106">
        <v>120.9</v>
      </c>
      <c r="AB106">
        <v>111.5</v>
      </c>
      <c r="AC106">
        <v>119.2</v>
      </c>
      <c r="AD106">
        <v>126.3</v>
      </c>
      <c r="AE106">
        <v>113.8</v>
      </c>
      <c r="AF106">
        <f t="shared" si="5"/>
        <v>234.7</v>
      </c>
      <c r="AG106">
        <v>118.1</v>
      </c>
      <c r="AH106">
        <v>126.6</v>
      </c>
    </row>
    <row r="107" spans="1:34" x14ac:dyDescent="0.35">
      <c r="A107" t="s">
        <v>28</v>
      </c>
      <c r="B107">
        <v>2015</v>
      </c>
      <c r="C107" t="s">
        <v>43</v>
      </c>
      <c r="D107">
        <v>126.3</v>
      </c>
      <c r="E107">
        <v>131.30000000000001</v>
      </c>
      <c r="F107">
        <v>123.3</v>
      </c>
      <c r="G107">
        <v>129.80000000000001</v>
      </c>
      <c r="H107">
        <v>118.3</v>
      </c>
      <c r="I107">
        <v>131.6</v>
      </c>
      <c r="J107">
        <v>145.5</v>
      </c>
      <c r="K107">
        <v>162.1</v>
      </c>
      <c r="L107">
        <v>95.4</v>
      </c>
      <c r="M107">
        <v>128.9</v>
      </c>
      <c r="N107">
        <v>123.3</v>
      </c>
      <c r="O107">
        <v>135.1</v>
      </c>
      <c r="P107">
        <v>131.4</v>
      </c>
      <c r="Q107">
        <f t="shared" si="3"/>
        <v>1682.3000000000002</v>
      </c>
      <c r="R107">
        <v>133.1</v>
      </c>
      <c r="S107">
        <v>132.5</v>
      </c>
      <c r="T107">
        <v>128.5</v>
      </c>
      <c r="U107">
        <v>131.9</v>
      </c>
      <c r="V107">
        <v>392.9</v>
      </c>
      <c r="W107">
        <v>122.4</v>
      </c>
      <c r="X107">
        <v>125.7</v>
      </c>
      <c r="Y107">
        <v>126</v>
      </c>
      <c r="Z107">
        <f t="shared" si="4"/>
        <v>248.4</v>
      </c>
      <c r="AA107">
        <v>123.1</v>
      </c>
      <c r="AB107">
        <v>114</v>
      </c>
      <c r="AC107">
        <v>121.6</v>
      </c>
      <c r="AD107">
        <v>125.6</v>
      </c>
      <c r="AE107">
        <v>114.1</v>
      </c>
      <c r="AF107">
        <f t="shared" si="5"/>
        <v>237.2</v>
      </c>
      <c r="AG107">
        <v>119.8</v>
      </c>
      <c r="AH107">
        <v>127.9</v>
      </c>
    </row>
    <row r="108" spans="1:34" x14ac:dyDescent="0.35">
      <c r="A108" t="s">
        <v>30</v>
      </c>
      <c r="B108">
        <v>2015</v>
      </c>
      <c r="C108" t="s">
        <v>43</v>
      </c>
      <c r="D108">
        <v>124.3</v>
      </c>
      <c r="E108">
        <v>131.69999999999999</v>
      </c>
      <c r="F108">
        <v>127.1</v>
      </c>
      <c r="G108">
        <v>128.6</v>
      </c>
      <c r="H108">
        <v>110</v>
      </c>
      <c r="I108">
        <v>120.8</v>
      </c>
      <c r="J108">
        <v>149</v>
      </c>
      <c r="K108">
        <v>190.1</v>
      </c>
      <c r="L108">
        <v>92.7</v>
      </c>
      <c r="M108">
        <v>138.6</v>
      </c>
      <c r="N108">
        <v>120.2</v>
      </c>
      <c r="O108">
        <v>134.19999999999999</v>
      </c>
      <c r="P108">
        <v>131.5</v>
      </c>
      <c r="Q108">
        <f t="shared" si="3"/>
        <v>1698.8</v>
      </c>
      <c r="R108">
        <v>138.19999999999999</v>
      </c>
      <c r="S108">
        <v>125.4</v>
      </c>
      <c r="T108">
        <v>119.5</v>
      </c>
      <c r="U108">
        <v>124.5</v>
      </c>
      <c r="V108">
        <v>369.4</v>
      </c>
      <c r="W108">
        <v>122.4</v>
      </c>
      <c r="X108">
        <v>116</v>
      </c>
      <c r="Y108">
        <v>121</v>
      </c>
      <c r="Z108">
        <f t="shared" si="4"/>
        <v>243.4</v>
      </c>
      <c r="AA108">
        <v>118.6</v>
      </c>
      <c r="AB108">
        <v>109.3</v>
      </c>
      <c r="AC108">
        <v>118.1</v>
      </c>
      <c r="AD108">
        <v>126.6</v>
      </c>
      <c r="AE108">
        <v>113.2</v>
      </c>
      <c r="AF108">
        <f t="shared" si="5"/>
        <v>231.8</v>
      </c>
      <c r="AG108">
        <v>116.7</v>
      </c>
      <c r="AH108">
        <v>124</v>
      </c>
    </row>
    <row r="109" spans="1:34" x14ac:dyDescent="0.35">
      <c r="A109" t="s">
        <v>31</v>
      </c>
      <c r="B109">
        <v>2015</v>
      </c>
      <c r="C109" t="s">
        <v>43</v>
      </c>
      <c r="D109">
        <v>125.7</v>
      </c>
      <c r="E109">
        <v>131.4</v>
      </c>
      <c r="F109">
        <v>124.8</v>
      </c>
      <c r="G109">
        <v>129.4</v>
      </c>
      <c r="H109">
        <v>115.3</v>
      </c>
      <c r="I109">
        <v>126.6</v>
      </c>
      <c r="J109">
        <v>146.69999999999999</v>
      </c>
      <c r="K109">
        <v>171.5</v>
      </c>
      <c r="L109">
        <v>94.5</v>
      </c>
      <c r="M109">
        <v>132.1</v>
      </c>
      <c r="N109">
        <v>122</v>
      </c>
      <c r="O109">
        <v>134.69999999999999</v>
      </c>
      <c r="P109">
        <v>131.4</v>
      </c>
      <c r="Q109">
        <f t="shared" si="3"/>
        <v>1686.1000000000001</v>
      </c>
      <c r="R109">
        <v>134.5</v>
      </c>
      <c r="S109">
        <v>129.69999999999999</v>
      </c>
      <c r="T109">
        <v>124.8</v>
      </c>
      <c r="U109">
        <v>129</v>
      </c>
      <c r="V109">
        <v>383.5</v>
      </c>
      <c r="W109">
        <v>122.4</v>
      </c>
      <c r="X109">
        <v>122</v>
      </c>
      <c r="Y109">
        <v>123.6</v>
      </c>
      <c r="Z109">
        <f t="shared" si="4"/>
        <v>246</v>
      </c>
      <c r="AA109">
        <v>121.4</v>
      </c>
      <c r="AB109">
        <v>111.5</v>
      </c>
      <c r="AC109">
        <v>119.6</v>
      </c>
      <c r="AD109">
        <v>126.2</v>
      </c>
      <c r="AE109">
        <v>113.7</v>
      </c>
      <c r="AF109">
        <f t="shared" si="5"/>
        <v>235.10000000000002</v>
      </c>
      <c r="AG109">
        <v>118.3</v>
      </c>
      <c r="AH109">
        <v>126.1</v>
      </c>
    </row>
    <row r="110" spans="1:34" x14ac:dyDescent="0.35">
      <c r="A110" t="s">
        <v>28</v>
      </c>
      <c r="B110">
        <v>2016</v>
      </c>
      <c r="C110" t="s">
        <v>29</v>
      </c>
      <c r="D110">
        <v>126.8</v>
      </c>
      <c r="E110">
        <v>133.19999999999999</v>
      </c>
      <c r="F110">
        <v>126.5</v>
      </c>
      <c r="G110">
        <v>130.30000000000001</v>
      </c>
      <c r="H110">
        <v>118.9</v>
      </c>
      <c r="I110">
        <v>131.6</v>
      </c>
      <c r="J110">
        <v>140.1</v>
      </c>
      <c r="K110">
        <v>163.80000000000001</v>
      </c>
      <c r="L110">
        <v>97.7</v>
      </c>
      <c r="M110">
        <v>129.6</v>
      </c>
      <c r="N110">
        <v>124.3</v>
      </c>
      <c r="O110">
        <v>135.9</v>
      </c>
      <c r="P110">
        <v>131.4</v>
      </c>
      <c r="Q110">
        <f t="shared" si="3"/>
        <v>1690.1000000000001</v>
      </c>
      <c r="R110">
        <v>133.6</v>
      </c>
      <c r="S110">
        <v>133.19999999999999</v>
      </c>
      <c r="T110">
        <v>128.9</v>
      </c>
      <c r="U110">
        <v>132.6</v>
      </c>
      <c r="V110">
        <v>394.70000000000005</v>
      </c>
      <c r="W110">
        <v>123.4</v>
      </c>
      <c r="X110">
        <v>126.2</v>
      </c>
      <c r="Y110">
        <v>126.6</v>
      </c>
      <c r="Z110">
        <f t="shared" si="4"/>
        <v>250</v>
      </c>
      <c r="AA110">
        <v>123.7</v>
      </c>
      <c r="AB110">
        <v>113.6</v>
      </c>
      <c r="AC110">
        <v>121.4</v>
      </c>
      <c r="AD110">
        <v>126.2</v>
      </c>
      <c r="AE110">
        <v>114.9</v>
      </c>
      <c r="AF110">
        <f t="shared" si="5"/>
        <v>238.60000000000002</v>
      </c>
      <c r="AG110">
        <v>120.1</v>
      </c>
      <c r="AH110">
        <v>128.1</v>
      </c>
    </row>
    <row r="111" spans="1:34" x14ac:dyDescent="0.35">
      <c r="A111" t="s">
        <v>30</v>
      </c>
      <c r="B111">
        <v>2016</v>
      </c>
      <c r="C111" t="s">
        <v>29</v>
      </c>
      <c r="D111">
        <v>124.7</v>
      </c>
      <c r="E111">
        <v>135.9</v>
      </c>
      <c r="F111">
        <v>132</v>
      </c>
      <c r="G111">
        <v>129.19999999999999</v>
      </c>
      <c r="H111">
        <v>109.7</v>
      </c>
      <c r="I111">
        <v>119</v>
      </c>
      <c r="J111">
        <v>144.1</v>
      </c>
      <c r="K111">
        <v>184.2</v>
      </c>
      <c r="L111">
        <v>96.7</v>
      </c>
      <c r="M111">
        <v>139.5</v>
      </c>
      <c r="N111">
        <v>120.5</v>
      </c>
      <c r="O111">
        <v>134.69999999999999</v>
      </c>
      <c r="P111">
        <v>131.19999999999999</v>
      </c>
      <c r="Q111">
        <f t="shared" si="3"/>
        <v>1701.4</v>
      </c>
      <c r="R111">
        <v>139.5</v>
      </c>
      <c r="S111">
        <v>125.8</v>
      </c>
      <c r="T111">
        <v>119.8</v>
      </c>
      <c r="U111">
        <v>124.9</v>
      </c>
      <c r="V111">
        <v>370.5</v>
      </c>
      <c r="W111">
        <v>123.4</v>
      </c>
      <c r="X111">
        <v>116.9</v>
      </c>
      <c r="Y111">
        <v>121.6</v>
      </c>
      <c r="Z111">
        <f t="shared" si="4"/>
        <v>245</v>
      </c>
      <c r="AA111">
        <v>119.1</v>
      </c>
      <c r="AB111">
        <v>108.9</v>
      </c>
      <c r="AC111">
        <v>118.5</v>
      </c>
      <c r="AD111">
        <v>126.4</v>
      </c>
      <c r="AE111">
        <v>114</v>
      </c>
      <c r="AF111">
        <f t="shared" si="5"/>
        <v>233.1</v>
      </c>
      <c r="AG111">
        <v>116.8</v>
      </c>
      <c r="AH111">
        <v>124.2</v>
      </c>
    </row>
    <row r="112" spans="1:34" x14ac:dyDescent="0.35">
      <c r="A112" t="s">
        <v>31</v>
      </c>
      <c r="B112">
        <v>2016</v>
      </c>
      <c r="C112" t="s">
        <v>29</v>
      </c>
      <c r="D112">
        <v>126.1</v>
      </c>
      <c r="E112">
        <v>134.1</v>
      </c>
      <c r="F112">
        <v>128.6</v>
      </c>
      <c r="G112">
        <v>129.9</v>
      </c>
      <c r="H112">
        <v>115.5</v>
      </c>
      <c r="I112">
        <v>125.7</v>
      </c>
      <c r="J112">
        <v>141.5</v>
      </c>
      <c r="K112">
        <v>170.7</v>
      </c>
      <c r="L112">
        <v>97.4</v>
      </c>
      <c r="M112">
        <v>132.9</v>
      </c>
      <c r="N112">
        <v>122.7</v>
      </c>
      <c r="O112">
        <v>135.30000000000001</v>
      </c>
      <c r="P112">
        <v>131.30000000000001</v>
      </c>
      <c r="Q112">
        <f t="shared" si="3"/>
        <v>1691.7</v>
      </c>
      <c r="R112">
        <v>135.19999999999999</v>
      </c>
      <c r="S112">
        <v>130.30000000000001</v>
      </c>
      <c r="T112">
        <v>125.1</v>
      </c>
      <c r="U112">
        <v>129.5</v>
      </c>
      <c r="V112">
        <v>384.9</v>
      </c>
      <c r="W112">
        <v>123.4</v>
      </c>
      <c r="X112">
        <v>122.7</v>
      </c>
      <c r="Y112">
        <v>124.2</v>
      </c>
      <c r="Z112">
        <f t="shared" si="4"/>
        <v>247.60000000000002</v>
      </c>
      <c r="AA112">
        <v>122</v>
      </c>
      <c r="AB112">
        <v>111.1</v>
      </c>
      <c r="AC112">
        <v>119.8</v>
      </c>
      <c r="AD112">
        <v>126.3</v>
      </c>
      <c r="AE112">
        <v>114.5</v>
      </c>
      <c r="AF112">
        <f t="shared" si="5"/>
        <v>236.5</v>
      </c>
      <c r="AG112">
        <v>118.5</v>
      </c>
      <c r="AH112">
        <v>126.3</v>
      </c>
    </row>
    <row r="113" spans="1:34" x14ac:dyDescent="0.35">
      <c r="A113" t="s">
        <v>28</v>
      </c>
      <c r="B113">
        <v>2016</v>
      </c>
      <c r="C113" t="s">
        <v>32</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f t="shared" si="3"/>
        <v>1682.6</v>
      </c>
      <c r="R113">
        <v>134.4</v>
      </c>
      <c r="S113">
        <v>133.9</v>
      </c>
      <c r="T113">
        <v>129.80000000000001</v>
      </c>
      <c r="U113">
        <v>133.4</v>
      </c>
      <c r="V113">
        <v>397.1</v>
      </c>
      <c r="W113">
        <v>124.4</v>
      </c>
      <c r="X113">
        <v>127.5</v>
      </c>
      <c r="Y113">
        <v>127.1</v>
      </c>
      <c r="Z113">
        <f t="shared" si="4"/>
        <v>251.5</v>
      </c>
      <c r="AA113">
        <v>124.3</v>
      </c>
      <c r="AB113">
        <v>113.9</v>
      </c>
      <c r="AC113">
        <v>122.3</v>
      </c>
      <c r="AD113">
        <v>127.1</v>
      </c>
      <c r="AE113">
        <v>116.8</v>
      </c>
      <c r="AF113">
        <f t="shared" si="5"/>
        <v>241.1</v>
      </c>
      <c r="AG113">
        <v>120.9</v>
      </c>
      <c r="AH113">
        <v>127.9</v>
      </c>
    </row>
    <row r="114" spans="1:34" x14ac:dyDescent="0.35">
      <c r="A114" t="s">
        <v>30</v>
      </c>
      <c r="B114">
        <v>2016</v>
      </c>
      <c r="C114" t="s">
        <v>32</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f t="shared" si="3"/>
        <v>1676.1</v>
      </c>
      <c r="R114">
        <v>140</v>
      </c>
      <c r="S114">
        <v>126.2</v>
      </c>
      <c r="T114">
        <v>120.1</v>
      </c>
      <c r="U114">
        <v>125.3</v>
      </c>
      <c r="V114">
        <v>371.6</v>
      </c>
      <c r="W114">
        <v>124.4</v>
      </c>
      <c r="X114">
        <v>116</v>
      </c>
      <c r="Y114">
        <v>121.8</v>
      </c>
      <c r="Z114">
        <f t="shared" si="4"/>
        <v>246.2</v>
      </c>
      <c r="AA114">
        <v>119.5</v>
      </c>
      <c r="AB114">
        <v>109.1</v>
      </c>
      <c r="AC114">
        <v>118.8</v>
      </c>
      <c r="AD114">
        <v>126.3</v>
      </c>
      <c r="AE114">
        <v>116.2</v>
      </c>
      <c r="AF114">
        <f t="shared" si="5"/>
        <v>235.7</v>
      </c>
      <c r="AG114">
        <v>117.2</v>
      </c>
      <c r="AH114">
        <v>123.8</v>
      </c>
    </row>
    <row r="115" spans="1:34" x14ac:dyDescent="0.35">
      <c r="A115" t="s">
        <v>31</v>
      </c>
      <c r="B115">
        <v>2016</v>
      </c>
      <c r="C115" t="s">
        <v>32</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f t="shared" si="3"/>
        <v>1678.1</v>
      </c>
      <c r="R115">
        <v>135.9</v>
      </c>
      <c r="S115">
        <v>130.9</v>
      </c>
      <c r="T115">
        <v>125.8</v>
      </c>
      <c r="U115">
        <v>130.19999999999999</v>
      </c>
      <c r="V115">
        <v>386.9</v>
      </c>
      <c r="W115">
        <v>124.4</v>
      </c>
      <c r="X115">
        <v>123.1</v>
      </c>
      <c r="Y115">
        <v>124.6</v>
      </c>
      <c r="Z115">
        <f t="shared" si="4"/>
        <v>249</v>
      </c>
      <c r="AA115">
        <v>122.5</v>
      </c>
      <c r="AB115">
        <v>111.4</v>
      </c>
      <c r="AC115">
        <v>120.3</v>
      </c>
      <c r="AD115">
        <v>126.6</v>
      </c>
      <c r="AE115">
        <v>116.6</v>
      </c>
      <c r="AF115">
        <f t="shared" si="5"/>
        <v>239.1</v>
      </c>
      <c r="AG115">
        <v>119.1</v>
      </c>
      <c r="AH115">
        <v>126</v>
      </c>
    </row>
    <row r="116" spans="1:34" x14ac:dyDescent="0.35">
      <c r="A116" t="s">
        <v>28</v>
      </c>
      <c r="B116">
        <v>2016</v>
      </c>
      <c r="C116" t="s">
        <v>33</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f t="shared" si="3"/>
        <v>1682.7000000000003</v>
      </c>
      <c r="R116">
        <v>135</v>
      </c>
      <c r="S116">
        <v>134.4</v>
      </c>
      <c r="T116">
        <v>130.19999999999999</v>
      </c>
      <c r="U116">
        <v>133.80000000000001</v>
      </c>
      <c r="V116">
        <v>398.40000000000003</v>
      </c>
      <c r="W116">
        <v>124.9</v>
      </c>
      <c r="X116">
        <v>127</v>
      </c>
      <c r="Y116">
        <v>127.7</v>
      </c>
      <c r="Z116">
        <f t="shared" si="4"/>
        <v>252.60000000000002</v>
      </c>
      <c r="AA116">
        <v>124.8</v>
      </c>
      <c r="AB116">
        <v>113.6</v>
      </c>
      <c r="AC116">
        <v>122.5</v>
      </c>
      <c r="AD116">
        <v>127.5</v>
      </c>
      <c r="AE116">
        <v>117.4</v>
      </c>
      <c r="AF116">
        <f t="shared" si="5"/>
        <v>242.2</v>
      </c>
      <c r="AG116">
        <v>121.1</v>
      </c>
      <c r="AH116">
        <v>128</v>
      </c>
    </row>
    <row r="117" spans="1:34" x14ac:dyDescent="0.35">
      <c r="A117" t="s">
        <v>30</v>
      </c>
      <c r="B117">
        <v>2016</v>
      </c>
      <c r="C117" t="s">
        <v>33</v>
      </c>
      <c r="D117">
        <v>124.8</v>
      </c>
      <c r="E117">
        <v>136.30000000000001</v>
      </c>
      <c r="F117">
        <v>123.7</v>
      </c>
      <c r="G117">
        <v>129.69999999999999</v>
      </c>
      <c r="H117">
        <v>107.9</v>
      </c>
      <c r="I117">
        <v>119.9</v>
      </c>
      <c r="J117">
        <v>128.1</v>
      </c>
      <c r="K117">
        <v>170.3</v>
      </c>
      <c r="L117">
        <v>101.8</v>
      </c>
      <c r="M117">
        <v>140.1</v>
      </c>
      <c r="N117">
        <v>120.7</v>
      </c>
      <c r="O117">
        <v>135.4</v>
      </c>
      <c r="P117">
        <v>128.9</v>
      </c>
      <c r="Q117">
        <f t="shared" si="3"/>
        <v>1667.6000000000001</v>
      </c>
      <c r="R117">
        <v>140.6</v>
      </c>
      <c r="S117">
        <v>126.4</v>
      </c>
      <c r="T117">
        <v>120.3</v>
      </c>
      <c r="U117">
        <v>125.5</v>
      </c>
      <c r="V117">
        <v>372.2</v>
      </c>
      <c r="W117">
        <v>124.9</v>
      </c>
      <c r="X117">
        <v>114.8</v>
      </c>
      <c r="Y117">
        <v>122.3</v>
      </c>
      <c r="Z117">
        <f t="shared" si="4"/>
        <v>247.2</v>
      </c>
      <c r="AA117">
        <v>119.7</v>
      </c>
      <c r="AB117">
        <v>108.5</v>
      </c>
      <c r="AC117">
        <v>119.1</v>
      </c>
      <c r="AD117">
        <v>126.4</v>
      </c>
      <c r="AE117">
        <v>117.1</v>
      </c>
      <c r="AF117">
        <f t="shared" si="5"/>
        <v>236.8</v>
      </c>
      <c r="AG117">
        <v>117.3</v>
      </c>
      <c r="AH117">
        <v>123.8</v>
      </c>
    </row>
    <row r="118" spans="1:34" x14ac:dyDescent="0.35">
      <c r="A118" t="s">
        <v>31</v>
      </c>
      <c r="B118">
        <v>2016</v>
      </c>
      <c r="C118" t="s">
        <v>33</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f t="shared" si="3"/>
        <v>1675.2</v>
      </c>
      <c r="R118">
        <v>136.5</v>
      </c>
      <c r="S118">
        <v>131.30000000000001</v>
      </c>
      <c r="T118">
        <v>126.1</v>
      </c>
      <c r="U118">
        <v>130.5</v>
      </c>
      <c r="V118">
        <v>387.9</v>
      </c>
      <c r="W118">
        <v>124.9</v>
      </c>
      <c r="X118">
        <v>122.4</v>
      </c>
      <c r="Y118">
        <v>125.1</v>
      </c>
      <c r="Z118">
        <f t="shared" si="4"/>
        <v>250</v>
      </c>
      <c r="AA118">
        <v>122.9</v>
      </c>
      <c r="AB118">
        <v>110.9</v>
      </c>
      <c r="AC118">
        <v>120.6</v>
      </c>
      <c r="AD118">
        <v>126.9</v>
      </c>
      <c r="AE118">
        <v>117.3</v>
      </c>
      <c r="AF118">
        <f t="shared" si="5"/>
        <v>240.2</v>
      </c>
      <c r="AG118">
        <v>119.3</v>
      </c>
      <c r="AH118">
        <v>126</v>
      </c>
    </row>
    <row r="119" spans="1:34" x14ac:dyDescent="0.35">
      <c r="A119" t="s">
        <v>28</v>
      </c>
      <c r="B119">
        <v>2016</v>
      </c>
      <c r="C119" t="s">
        <v>34</v>
      </c>
      <c r="D119">
        <v>127.4</v>
      </c>
      <c r="E119">
        <v>135.4</v>
      </c>
      <c r="F119">
        <v>123.4</v>
      </c>
      <c r="G119">
        <v>131.30000000000001</v>
      </c>
      <c r="H119">
        <v>118.2</v>
      </c>
      <c r="I119">
        <v>138.1</v>
      </c>
      <c r="J119">
        <v>134.1</v>
      </c>
      <c r="K119">
        <v>162.69999999999999</v>
      </c>
      <c r="L119">
        <v>105</v>
      </c>
      <c r="M119">
        <v>131.4</v>
      </c>
      <c r="N119">
        <v>125.4</v>
      </c>
      <c r="O119">
        <v>137.4</v>
      </c>
      <c r="P119">
        <v>131.80000000000001</v>
      </c>
      <c r="Q119">
        <f t="shared" si="3"/>
        <v>1701.6000000000004</v>
      </c>
      <c r="R119">
        <v>135.5</v>
      </c>
      <c r="S119">
        <v>135</v>
      </c>
      <c r="T119">
        <v>130.6</v>
      </c>
      <c r="U119">
        <v>134.4</v>
      </c>
      <c r="V119">
        <v>400</v>
      </c>
      <c r="W119">
        <v>125.6</v>
      </c>
      <c r="X119">
        <v>127</v>
      </c>
      <c r="Y119">
        <v>128</v>
      </c>
      <c r="Z119">
        <f t="shared" si="4"/>
        <v>253.6</v>
      </c>
      <c r="AA119">
        <v>125.2</v>
      </c>
      <c r="AB119">
        <v>114.4</v>
      </c>
      <c r="AC119">
        <v>123.2</v>
      </c>
      <c r="AD119">
        <v>127.9</v>
      </c>
      <c r="AE119">
        <v>118.4</v>
      </c>
      <c r="AF119">
        <f t="shared" si="5"/>
        <v>243.60000000000002</v>
      </c>
      <c r="AG119">
        <v>121.7</v>
      </c>
      <c r="AH119">
        <v>129</v>
      </c>
    </row>
    <row r="120" spans="1:34" x14ac:dyDescent="0.35">
      <c r="A120" t="s">
        <v>30</v>
      </c>
      <c r="B120">
        <v>2016</v>
      </c>
      <c r="C120" t="s">
        <v>34</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f t="shared" si="3"/>
        <v>1706.3</v>
      </c>
      <c r="R120">
        <v>141.5</v>
      </c>
      <c r="S120">
        <v>126.8</v>
      </c>
      <c r="T120">
        <v>120.5</v>
      </c>
      <c r="U120">
        <v>125.8</v>
      </c>
      <c r="V120">
        <v>373.1</v>
      </c>
      <c r="W120">
        <v>125.6</v>
      </c>
      <c r="X120">
        <v>114.6</v>
      </c>
      <c r="Y120">
        <v>122.8</v>
      </c>
      <c r="Z120">
        <f t="shared" si="4"/>
        <v>248.39999999999998</v>
      </c>
      <c r="AA120">
        <v>120</v>
      </c>
      <c r="AB120">
        <v>110</v>
      </c>
      <c r="AC120">
        <v>119.5</v>
      </c>
      <c r="AD120">
        <v>127.6</v>
      </c>
      <c r="AE120">
        <v>117.6</v>
      </c>
      <c r="AF120">
        <f t="shared" si="5"/>
        <v>237.6</v>
      </c>
      <c r="AG120">
        <v>118.2</v>
      </c>
      <c r="AH120">
        <v>125.3</v>
      </c>
    </row>
    <row r="121" spans="1:34" x14ac:dyDescent="0.35">
      <c r="A121" t="s">
        <v>31</v>
      </c>
      <c r="B121">
        <v>2016</v>
      </c>
      <c r="C121" t="s">
        <v>34</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f t="shared" si="3"/>
        <v>1701.3</v>
      </c>
      <c r="R121">
        <v>137.1</v>
      </c>
      <c r="S121">
        <v>131.80000000000001</v>
      </c>
      <c r="T121">
        <v>126.4</v>
      </c>
      <c r="U121">
        <v>131</v>
      </c>
      <c r="V121">
        <v>389.20000000000005</v>
      </c>
      <c r="W121">
        <v>125.6</v>
      </c>
      <c r="X121">
        <v>122.3</v>
      </c>
      <c r="Y121">
        <v>125.5</v>
      </c>
      <c r="Z121">
        <f t="shared" si="4"/>
        <v>251.1</v>
      </c>
      <c r="AA121">
        <v>123.2</v>
      </c>
      <c r="AB121">
        <v>112.1</v>
      </c>
      <c r="AC121">
        <v>121.1</v>
      </c>
      <c r="AD121">
        <v>127.7</v>
      </c>
      <c r="AE121">
        <v>118.1</v>
      </c>
      <c r="AF121">
        <f t="shared" si="5"/>
        <v>241.3</v>
      </c>
      <c r="AG121">
        <v>120</v>
      </c>
      <c r="AH121">
        <v>127.3</v>
      </c>
    </row>
    <row r="122" spans="1:34" x14ac:dyDescent="0.35">
      <c r="A122" t="s">
        <v>28</v>
      </c>
      <c r="B122">
        <v>2016</v>
      </c>
      <c r="C122" t="s">
        <v>35</v>
      </c>
      <c r="D122">
        <v>127.6</v>
      </c>
      <c r="E122">
        <v>137.5</v>
      </c>
      <c r="F122">
        <v>124.4</v>
      </c>
      <c r="G122">
        <v>132.4</v>
      </c>
      <c r="H122">
        <v>118.2</v>
      </c>
      <c r="I122">
        <v>138.1</v>
      </c>
      <c r="J122">
        <v>141.80000000000001</v>
      </c>
      <c r="K122">
        <v>166</v>
      </c>
      <c r="L122">
        <v>107.5</v>
      </c>
      <c r="M122">
        <v>132.19999999999999</v>
      </c>
      <c r="N122">
        <v>126.1</v>
      </c>
      <c r="O122">
        <v>138.30000000000001</v>
      </c>
      <c r="P122">
        <v>133.6</v>
      </c>
      <c r="Q122">
        <f t="shared" si="3"/>
        <v>1723.6999999999998</v>
      </c>
      <c r="R122">
        <v>136</v>
      </c>
      <c r="S122">
        <v>135.4</v>
      </c>
      <c r="T122">
        <v>131.1</v>
      </c>
      <c r="U122">
        <v>134.80000000000001</v>
      </c>
      <c r="V122">
        <v>401.3</v>
      </c>
      <c r="W122">
        <v>126</v>
      </c>
      <c r="X122">
        <v>127.4</v>
      </c>
      <c r="Y122">
        <v>128.5</v>
      </c>
      <c r="Z122">
        <f t="shared" si="4"/>
        <v>254.5</v>
      </c>
      <c r="AA122">
        <v>125.8</v>
      </c>
      <c r="AB122">
        <v>115.1</v>
      </c>
      <c r="AC122">
        <v>123.6</v>
      </c>
      <c r="AD122">
        <v>129.1</v>
      </c>
      <c r="AE122">
        <v>119.7</v>
      </c>
      <c r="AF122">
        <f t="shared" si="5"/>
        <v>245.5</v>
      </c>
      <c r="AG122">
        <v>122.5</v>
      </c>
      <c r="AH122">
        <v>130.30000000000001</v>
      </c>
    </row>
    <row r="123" spans="1:34" x14ac:dyDescent="0.35">
      <c r="A123" t="s">
        <v>30</v>
      </c>
      <c r="B123">
        <v>2016</v>
      </c>
      <c r="C123" t="s">
        <v>35</v>
      </c>
      <c r="D123">
        <v>125</v>
      </c>
      <c r="E123">
        <v>142.1</v>
      </c>
      <c r="F123">
        <v>127</v>
      </c>
      <c r="G123">
        <v>130.4</v>
      </c>
      <c r="H123">
        <v>109.6</v>
      </c>
      <c r="I123">
        <v>133.5</v>
      </c>
      <c r="J123">
        <v>151.4</v>
      </c>
      <c r="K123">
        <v>182.8</v>
      </c>
      <c r="L123">
        <v>111.1</v>
      </c>
      <c r="M123">
        <v>141.5</v>
      </c>
      <c r="N123">
        <v>121.5</v>
      </c>
      <c r="O123">
        <v>136.30000000000001</v>
      </c>
      <c r="P123">
        <v>134.6</v>
      </c>
      <c r="Q123">
        <f t="shared" si="3"/>
        <v>1746.7999999999997</v>
      </c>
      <c r="R123">
        <v>142.19999999999999</v>
      </c>
      <c r="S123">
        <v>127.2</v>
      </c>
      <c r="T123">
        <v>120.7</v>
      </c>
      <c r="U123">
        <v>126.2</v>
      </c>
      <c r="V123">
        <v>374.1</v>
      </c>
      <c r="W123">
        <v>126</v>
      </c>
      <c r="X123">
        <v>115</v>
      </c>
      <c r="Y123">
        <v>123.2</v>
      </c>
      <c r="Z123">
        <f t="shared" si="4"/>
        <v>249.2</v>
      </c>
      <c r="AA123">
        <v>120.3</v>
      </c>
      <c r="AB123">
        <v>110.7</v>
      </c>
      <c r="AC123">
        <v>119.8</v>
      </c>
      <c r="AD123">
        <v>128</v>
      </c>
      <c r="AE123">
        <v>118.5</v>
      </c>
      <c r="AF123">
        <f t="shared" si="5"/>
        <v>238.8</v>
      </c>
      <c r="AG123">
        <v>118.7</v>
      </c>
      <c r="AH123">
        <v>126.6</v>
      </c>
    </row>
    <row r="124" spans="1:34" x14ac:dyDescent="0.35">
      <c r="A124" t="s">
        <v>31</v>
      </c>
      <c r="B124">
        <v>2016</v>
      </c>
      <c r="C124" t="s">
        <v>35</v>
      </c>
      <c r="D124">
        <v>126.8</v>
      </c>
      <c r="E124">
        <v>139.1</v>
      </c>
      <c r="F124">
        <v>125.4</v>
      </c>
      <c r="G124">
        <v>131.69999999999999</v>
      </c>
      <c r="H124">
        <v>115</v>
      </c>
      <c r="I124">
        <v>136</v>
      </c>
      <c r="J124">
        <v>145.1</v>
      </c>
      <c r="K124">
        <v>171.7</v>
      </c>
      <c r="L124">
        <v>108.7</v>
      </c>
      <c r="M124">
        <v>135.30000000000001</v>
      </c>
      <c r="N124">
        <v>124.2</v>
      </c>
      <c r="O124">
        <v>137.4</v>
      </c>
      <c r="P124">
        <v>134</v>
      </c>
      <c r="Q124">
        <f t="shared" si="3"/>
        <v>1730.4</v>
      </c>
      <c r="R124">
        <v>137.69999999999999</v>
      </c>
      <c r="S124">
        <v>132.19999999999999</v>
      </c>
      <c r="T124">
        <v>126.8</v>
      </c>
      <c r="U124">
        <v>131.4</v>
      </c>
      <c r="V124">
        <v>390.4</v>
      </c>
      <c r="W124">
        <v>126</v>
      </c>
      <c r="X124">
        <v>122.7</v>
      </c>
      <c r="Y124">
        <v>126</v>
      </c>
      <c r="Z124">
        <f t="shared" si="4"/>
        <v>252</v>
      </c>
      <c r="AA124">
        <v>123.7</v>
      </c>
      <c r="AB124">
        <v>112.8</v>
      </c>
      <c r="AC124">
        <v>121.5</v>
      </c>
      <c r="AD124">
        <v>128.5</v>
      </c>
      <c r="AE124">
        <v>119.2</v>
      </c>
      <c r="AF124">
        <f t="shared" si="5"/>
        <v>242.9</v>
      </c>
      <c r="AG124">
        <v>120.7</v>
      </c>
      <c r="AH124">
        <v>128.6</v>
      </c>
    </row>
    <row r="125" spans="1:34" x14ac:dyDescent="0.35">
      <c r="A125" t="s">
        <v>28</v>
      </c>
      <c r="B125">
        <v>2016</v>
      </c>
      <c r="C125" t="s">
        <v>36</v>
      </c>
      <c r="D125">
        <v>128.6</v>
      </c>
      <c r="E125">
        <v>138.6</v>
      </c>
      <c r="F125">
        <v>126.6</v>
      </c>
      <c r="G125">
        <v>133.6</v>
      </c>
      <c r="H125">
        <v>118.6</v>
      </c>
      <c r="I125">
        <v>137.4</v>
      </c>
      <c r="J125">
        <v>152.5</v>
      </c>
      <c r="K125">
        <v>169.2</v>
      </c>
      <c r="L125">
        <v>108.8</v>
      </c>
      <c r="M125">
        <v>133.1</v>
      </c>
      <c r="N125">
        <v>126.4</v>
      </c>
      <c r="O125">
        <v>139.19999999999999</v>
      </c>
      <c r="P125">
        <v>136</v>
      </c>
      <c r="Q125">
        <f t="shared" si="3"/>
        <v>1748.6</v>
      </c>
      <c r="R125">
        <v>137.19999999999999</v>
      </c>
      <c r="S125">
        <v>136.30000000000001</v>
      </c>
      <c r="T125">
        <v>131.6</v>
      </c>
      <c r="U125">
        <v>135.6</v>
      </c>
      <c r="V125">
        <v>403.5</v>
      </c>
      <c r="W125">
        <v>125.5</v>
      </c>
      <c r="X125">
        <v>128</v>
      </c>
      <c r="Y125">
        <v>129.30000000000001</v>
      </c>
      <c r="Z125">
        <f t="shared" si="4"/>
        <v>254.8</v>
      </c>
      <c r="AA125">
        <v>126.2</v>
      </c>
      <c r="AB125">
        <v>116.3</v>
      </c>
      <c r="AC125">
        <v>124.1</v>
      </c>
      <c r="AD125">
        <v>130.19999999999999</v>
      </c>
      <c r="AE125">
        <v>119.9</v>
      </c>
      <c r="AF125">
        <f t="shared" si="5"/>
        <v>246.10000000000002</v>
      </c>
      <c r="AG125">
        <v>123.3</v>
      </c>
      <c r="AH125">
        <v>131.9</v>
      </c>
    </row>
    <row r="126" spans="1:34" x14ac:dyDescent="0.35">
      <c r="A126" t="s">
        <v>30</v>
      </c>
      <c r="B126">
        <v>2016</v>
      </c>
      <c r="C126" t="s">
        <v>36</v>
      </c>
      <c r="D126">
        <v>125.9</v>
      </c>
      <c r="E126">
        <v>143.9</v>
      </c>
      <c r="F126">
        <v>130.9</v>
      </c>
      <c r="G126">
        <v>131</v>
      </c>
      <c r="H126">
        <v>110.2</v>
      </c>
      <c r="I126">
        <v>135.5</v>
      </c>
      <c r="J126">
        <v>173.7</v>
      </c>
      <c r="K126">
        <v>184.4</v>
      </c>
      <c r="L126">
        <v>112</v>
      </c>
      <c r="M126">
        <v>142.80000000000001</v>
      </c>
      <c r="N126">
        <v>121.6</v>
      </c>
      <c r="O126">
        <v>136.9</v>
      </c>
      <c r="P126">
        <v>138.19999999999999</v>
      </c>
      <c r="Q126">
        <f t="shared" si="3"/>
        <v>1787.0000000000002</v>
      </c>
      <c r="R126">
        <v>142.69999999999999</v>
      </c>
      <c r="S126">
        <v>127.6</v>
      </c>
      <c r="T126">
        <v>121.1</v>
      </c>
      <c r="U126">
        <v>126.6</v>
      </c>
      <c r="V126">
        <v>375.29999999999995</v>
      </c>
      <c r="W126">
        <v>125.5</v>
      </c>
      <c r="X126">
        <v>115.5</v>
      </c>
      <c r="Y126">
        <v>123.2</v>
      </c>
      <c r="Z126">
        <f t="shared" si="4"/>
        <v>248.7</v>
      </c>
      <c r="AA126">
        <v>120.6</v>
      </c>
      <c r="AB126">
        <v>112.3</v>
      </c>
      <c r="AC126">
        <v>119.9</v>
      </c>
      <c r="AD126">
        <v>129.30000000000001</v>
      </c>
      <c r="AE126">
        <v>118.8</v>
      </c>
      <c r="AF126">
        <f t="shared" si="5"/>
        <v>239.39999999999998</v>
      </c>
      <c r="AG126">
        <v>119.6</v>
      </c>
      <c r="AH126">
        <v>128.1</v>
      </c>
    </row>
    <row r="127" spans="1:34" x14ac:dyDescent="0.35">
      <c r="A127" t="s">
        <v>31</v>
      </c>
      <c r="B127">
        <v>2016</v>
      </c>
      <c r="C127" t="s">
        <v>36</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f t="shared" si="3"/>
        <v>1760.6</v>
      </c>
      <c r="R127">
        <v>138.69999999999999</v>
      </c>
      <c r="S127">
        <v>132.9</v>
      </c>
      <c r="T127">
        <v>127.2</v>
      </c>
      <c r="U127">
        <v>132</v>
      </c>
      <c r="V127">
        <v>392.1</v>
      </c>
      <c r="W127">
        <v>125.5</v>
      </c>
      <c r="X127">
        <v>123.3</v>
      </c>
      <c r="Y127">
        <v>126.4</v>
      </c>
      <c r="Z127">
        <f t="shared" si="4"/>
        <v>251.9</v>
      </c>
      <c r="AA127">
        <v>124.1</v>
      </c>
      <c r="AB127">
        <v>114.2</v>
      </c>
      <c r="AC127">
        <v>121.7</v>
      </c>
      <c r="AD127">
        <v>129.69999999999999</v>
      </c>
      <c r="AE127">
        <v>119.4</v>
      </c>
      <c r="AF127">
        <f t="shared" si="5"/>
        <v>243.5</v>
      </c>
      <c r="AG127">
        <v>121.5</v>
      </c>
      <c r="AH127">
        <v>130.1</v>
      </c>
    </row>
    <row r="128" spans="1:34" x14ac:dyDescent="0.35">
      <c r="A128" t="s">
        <v>28</v>
      </c>
      <c r="B128">
        <v>2016</v>
      </c>
      <c r="C128" t="s">
        <v>37</v>
      </c>
      <c r="D128">
        <v>129.30000000000001</v>
      </c>
      <c r="E128">
        <v>139.5</v>
      </c>
      <c r="F128">
        <v>129.6</v>
      </c>
      <c r="G128">
        <v>134.5</v>
      </c>
      <c r="H128">
        <v>119.5</v>
      </c>
      <c r="I128">
        <v>138.5</v>
      </c>
      <c r="J128">
        <v>158.19999999999999</v>
      </c>
      <c r="K128">
        <v>171.8</v>
      </c>
      <c r="L128">
        <v>110.3</v>
      </c>
      <c r="M128">
        <v>134.30000000000001</v>
      </c>
      <c r="N128">
        <v>127.3</v>
      </c>
      <c r="O128">
        <v>139.9</v>
      </c>
      <c r="P128">
        <v>137.6</v>
      </c>
      <c r="Q128">
        <f t="shared" si="3"/>
        <v>1770.2999999999997</v>
      </c>
      <c r="R128">
        <v>138</v>
      </c>
      <c r="S128">
        <v>137.19999999999999</v>
      </c>
      <c r="T128">
        <v>132.19999999999999</v>
      </c>
      <c r="U128">
        <v>136.5</v>
      </c>
      <c r="V128">
        <v>405.9</v>
      </c>
      <c r="W128">
        <v>126.4</v>
      </c>
      <c r="X128">
        <v>128.19999999999999</v>
      </c>
      <c r="Y128">
        <v>130</v>
      </c>
      <c r="Z128">
        <f t="shared" si="4"/>
        <v>256.39999999999998</v>
      </c>
      <c r="AA128">
        <v>126.7</v>
      </c>
      <c r="AB128">
        <v>116.4</v>
      </c>
      <c r="AC128">
        <v>125.2</v>
      </c>
      <c r="AD128">
        <v>130.80000000000001</v>
      </c>
      <c r="AE128">
        <v>120.9</v>
      </c>
      <c r="AF128">
        <f t="shared" si="5"/>
        <v>247.60000000000002</v>
      </c>
      <c r="AG128">
        <v>123.8</v>
      </c>
      <c r="AH128">
        <v>133</v>
      </c>
    </row>
    <row r="129" spans="1:34" x14ac:dyDescent="0.35">
      <c r="A129" t="s">
        <v>30</v>
      </c>
      <c r="B129">
        <v>2016</v>
      </c>
      <c r="C129" t="s">
        <v>37</v>
      </c>
      <c r="D129">
        <v>126.8</v>
      </c>
      <c r="E129">
        <v>144.19999999999999</v>
      </c>
      <c r="F129">
        <v>136.6</v>
      </c>
      <c r="G129">
        <v>131.80000000000001</v>
      </c>
      <c r="H129">
        <v>111</v>
      </c>
      <c r="I129">
        <v>137</v>
      </c>
      <c r="J129">
        <v>179.5</v>
      </c>
      <c r="K129">
        <v>188.4</v>
      </c>
      <c r="L129">
        <v>113.3</v>
      </c>
      <c r="M129">
        <v>143.9</v>
      </c>
      <c r="N129">
        <v>121.7</v>
      </c>
      <c r="O129">
        <v>137.5</v>
      </c>
      <c r="P129">
        <v>139.80000000000001</v>
      </c>
      <c r="Q129">
        <f t="shared" si="3"/>
        <v>1811.5000000000002</v>
      </c>
      <c r="R129">
        <v>142.9</v>
      </c>
      <c r="S129">
        <v>127.9</v>
      </c>
      <c r="T129">
        <v>121.1</v>
      </c>
      <c r="U129">
        <v>126.9</v>
      </c>
      <c r="V129">
        <v>375.9</v>
      </c>
      <c r="W129">
        <v>126.4</v>
      </c>
      <c r="X129">
        <v>115.5</v>
      </c>
      <c r="Y129">
        <v>123.5</v>
      </c>
      <c r="Z129">
        <f t="shared" si="4"/>
        <v>249.9</v>
      </c>
      <c r="AA129">
        <v>120.9</v>
      </c>
      <c r="AB129">
        <v>111.7</v>
      </c>
      <c r="AC129">
        <v>120.3</v>
      </c>
      <c r="AD129">
        <v>130.80000000000001</v>
      </c>
      <c r="AE129">
        <v>120</v>
      </c>
      <c r="AF129">
        <f t="shared" si="5"/>
        <v>240.9</v>
      </c>
      <c r="AG129">
        <v>119.9</v>
      </c>
      <c r="AH129">
        <v>129</v>
      </c>
    </row>
    <row r="130" spans="1:34" x14ac:dyDescent="0.35">
      <c r="A130" t="s">
        <v>31</v>
      </c>
      <c r="B130">
        <v>2016</v>
      </c>
      <c r="C130" t="s">
        <v>37</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f t="shared" si="3"/>
        <v>1783.5</v>
      </c>
      <c r="R130">
        <v>139.30000000000001</v>
      </c>
      <c r="S130">
        <v>133.5</v>
      </c>
      <c r="T130">
        <v>127.6</v>
      </c>
      <c r="U130">
        <v>132.69999999999999</v>
      </c>
      <c r="V130">
        <v>393.8</v>
      </c>
      <c r="W130">
        <v>126.4</v>
      </c>
      <c r="X130">
        <v>123.4</v>
      </c>
      <c r="Y130">
        <v>126.9</v>
      </c>
      <c r="Z130">
        <f t="shared" si="4"/>
        <v>253.3</v>
      </c>
      <c r="AA130">
        <v>124.5</v>
      </c>
      <c r="AB130">
        <v>113.9</v>
      </c>
      <c r="AC130">
        <v>122.4</v>
      </c>
      <c r="AD130">
        <v>130.80000000000001</v>
      </c>
      <c r="AE130">
        <v>120.5</v>
      </c>
      <c r="AF130">
        <f t="shared" si="5"/>
        <v>245</v>
      </c>
      <c r="AG130">
        <v>121.9</v>
      </c>
      <c r="AH130">
        <v>131.1</v>
      </c>
    </row>
    <row r="131" spans="1:34" x14ac:dyDescent="0.35">
      <c r="A131" t="s">
        <v>28</v>
      </c>
      <c r="B131">
        <v>2016</v>
      </c>
      <c r="C131" t="s">
        <v>38</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f t="shared" ref="Q131:Q194" si="6">SUM(D131:P131)</f>
        <v>1777.4999999999998</v>
      </c>
      <c r="R131">
        <v>138.9</v>
      </c>
      <c r="S131">
        <v>137.80000000000001</v>
      </c>
      <c r="T131">
        <v>133</v>
      </c>
      <c r="U131">
        <v>137.1</v>
      </c>
      <c r="V131">
        <v>407.9</v>
      </c>
      <c r="W131">
        <v>127.3</v>
      </c>
      <c r="X131">
        <v>129.1</v>
      </c>
      <c r="Y131">
        <v>130.6</v>
      </c>
      <c r="Z131">
        <f t="shared" ref="Z131:Z194" si="7">W131+Y131</f>
        <v>257.89999999999998</v>
      </c>
      <c r="AA131">
        <v>127</v>
      </c>
      <c r="AB131">
        <v>116</v>
      </c>
      <c r="AC131">
        <v>125.5</v>
      </c>
      <c r="AD131">
        <v>131.9</v>
      </c>
      <c r="AE131">
        <v>122</v>
      </c>
      <c r="AF131">
        <f t="shared" ref="AF131:AF194" si="8">AA131+AE131</f>
        <v>249</v>
      </c>
      <c r="AG131">
        <v>124.2</v>
      </c>
      <c r="AH131">
        <v>133.5</v>
      </c>
    </row>
    <row r="132" spans="1:34" x14ac:dyDescent="0.35">
      <c r="A132" t="s">
        <v>30</v>
      </c>
      <c r="B132">
        <v>2016</v>
      </c>
      <c r="C132" t="s">
        <v>38</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f t="shared" si="6"/>
        <v>1783.9999999999995</v>
      </c>
      <c r="R132">
        <v>143.6</v>
      </c>
      <c r="S132">
        <v>128.30000000000001</v>
      </c>
      <c r="T132">
        <v>121.4</v>
      </c>
      <c r="U132">
        <v>127.3</v>
      </c>
      <c r="V132">
        <v>377</v>
      </c>
      <c r="W132">
        <v>127.3</v>
      </c>
      <c r="X132">
        <v>114.7</v>
      </c>
      <c r="Y132">
        <v>123.9</v>
      </c>
      <c r="Z132">
        <f t="shared" si="7"/>
        <v>251.2</v>
      </c>
      <c r="AA132">
        <v>121.2</v>
      </c>
      <c r="AB132">
        <v>110.4</v>
      </c>
      <c r="AC132">
        <v>120.6</v>
      </c>
      <c r="AD132">
        <v>131.5</v>
      </c>
      <c r="AE132">
        <v>120.9</v>
      </c>
      <c r="AF132">
        <f t="shared" si="8"/>
        <v>242.10000000000002</v>
      </c>
      <c r="AG132">
        <v>119.9</v>
      </c>
      <c r="AH132">
        <v>128.4</v>
      </c>
    </row>
    <row r="133" spans="1:34" x14ac:dyDescent="0.35">
      <c r="A133" t="s">
        <v>31</v>
      </c>
      <c r="B133">
        <v>2016</v>
      </c>
      <c r="C133" t="s">
        <v>38</v>
      </c>
      <c r="D133">
        <v>129.30000000000001</v>
      </c>
      <c r="E133">
        <v>139.30000000000001</v>
      </c>
      <c r="F133">
        <v>131.6</v>
      </c>
      <c r="G133">
        <v>134.1</v>
      </c>
      <c r="H133">
        <v>116.9</v>
      </c>
      <c r="I133">
        <v>138.1</v>
      </c>
      <c r="J133">
        <v>159.1</v>
      </c>
      <c r="K133">
        <v>175.6</v>
      </c>
      <c r="L133">
        <v>112.9</v>
      </c>
      <c r="M133">
        <v>138.1</v>
      </c>
      <c r="N133">
        <v>125.5</v>
      </c>
      <c r="O133">
        <v>139.5</v>
      </c>
      <c r="P133">
        <v>137.9</v>
      </c>
      <c r="Q133">
        <f t="shared" si="6"/>
        <v>1777.9</v>
      </c>
      <c r="R133">
        <v>140.19999999999999</v>
      </c>
      <c r="S133">
        <v>134.1</v>
      </c>
      <c r="T133">
        <v>128.19999999999999</v>
      </c>
      <c r="U133">
        <v>133.19999999999999</v>
      </c>
      <c r="V133">
        <v>395.49999999999994</v>
      </c>
      <c r="W133">
        <v>127.3</v>
      </c>
      <c r="X133">
        <v>123.6</v>
      </c>
      <c r="Y133">
        <v>127.4</v>
      </c>
      <c r="Z133">
        <f t="shared" si="7"/>
        <v>254.7</v>
      </c>
      <c r="AA133">
        <v>124.8</v>
      </c>
      <c r="AB133">
        <v>113.1</v>
      </c>
      <c r="AC133">
        <v>122.7</v>
      </c>
      <c r="AD133">
        <v>131.69999999999999</v>
      </c>
      <c r="AE133">
        <v>121.5</v>
      </c>
      <c r="AF133">
        <f t="shared" si="8"/>
        <v>246.3</v>
      </c>
      <c r="AG133">
        <v>122.1</v>
      </c>
      <c r="AH133">
        <v>131.1</v>
      </c>
    </row>
    <row r="134" spans="1:34" x14ac:dyDescent="0.35">
      <c r="A134" t="s">
        <v>28</v>
      </c>
      <c r="B134">
        <v>2016</v>
      </c>
      <c r="C134" t="s">
        <v>39</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f t="shared" si="6"/>
        <v>1770.7</v>
      </c>
      <c r="R134">
        <v>139.9</v>
      </c>
      <c r="S134">
        <v>138.5</v>
      </c>
      <c r="T134">
        <v>133.5</v>
      </c>
      <c r="U134">
        <v>137.80000000000001</v>
      </c>
      <c r="V134">
        <v>409.8</v>
      </c>
      <c r="W134">
        <v>127.9</v>
      </c>
      <c r="X134">
        <v>129.69999999999999</v>
      </c>
      <c r="Y134">
        <v>131.1</v>
      </c>
      <c r="Z134">
        <f t="shared" si="7"/>
        <v>259</v>
      </c>
      <c r="AA134">
        <v>127.8</v>
      </c>
      <c r="AB134">
        <v>117</v>
      </c>
      <c r="AC134">
        <v>125.7</v>
      </c>
      <c r="AD134">
        <v>132.19999999999999</v>
      </c>
      <c r="AE134">
        <v>122.8</v>
      </c>
      <c r="AF134">
        <f t="shared" si="8"/>
        <v>250.6</v>
      </c>
      <c r="AG134">
        <v>124.9</v>
      </c>
      <c r="AH134">
        <v>133.4</v>
      </c>
    </row>
    <row r="135" spans="1:34" x14ac:dyDescent="0.35">
      <c r="A135" t="s">
        <v>30</v>
      </c>
      <c r="B135">
        <v>2016</v>
      </c>
      <c r="C135" t="s">
        <v>39</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f t="shared" si="6"/>
        <v>1756.3999999999996</v>
      </c>
      <c r="R135">
        <v>143.9</v>
      </c>
      <c r="S135">
        <v>128.69999999999999</v>
      </c>
      <c r="T135">
        <v>121.6</v>
      </c>
      <c r="U135">
        <v>127.7</v>
      </c>
      <c r="V135">
        <v>378</v>
      </c>
      <c r="W135">
        <v>127.9</v>
      </c>
      <c r="X135">
        <v>114.8</v>
      </c>
      <c r="Y135">
        <v>124.3</v>
      </c>
      <c r="Z135">
        <f t="shared" si="7"/>
        <v>252.2</v>
      </c>
      <c r="AA135">
        <v>121.4</v>
      </c>
      <c r="AB135">
        <v>111.8</v>
      </c>
      <c r="AC135">
        <v>120.8</v>
      </c>
      <c r="AD135">
        <v>131.6</v>
      </c>
      <c r="AE135">
        <v>121.2</v>
      </c>
      <c r="AF135">
        <f t="shared" si="8"/>
        <v>242.60000000000002</v>
      </c>
      <c r="AG135">
        <v>120.5</v>
      </c>
      <c r="AH135">
        <v>128</v>
      </c>
    </row>
    <row r="136" spans="1:34" x14ac:dyDescent="0.35">
      <c r="A136" t="s">
        <v>31</v>
      </c>
      <c r="B136">
        <v>2016</v>
      </c>
      <c r="C136" t="s">
        <v>39</v>
      </c>
      <c r="D136">
        <v>129.9</v>
      </c>
      <c r="E136">
        <v>138</v>
      </c>
      <c r="F136">
        <v>130.5</v>
      </c>
      <c r="G136">
        <v>134.4</v>
      </c>
      <c r="H136">
        <v>117.2</v>
      </c>
      <c r="I136">
        <v>136.1</v>
      </c>
      <c r="J136">
        <v>150.69999999999999</v>
      </c>
      <c r="K136">
        <v>171.5</v>
      </c>
      <c r="L136">
        <v>113.8</v>
      </c>
      <c r="M136">
        <v>138.80000000000001</v>
      </c>
      <c r="N136">
        <v>126</v>
      </c>
      <c r="O136">
        <v>140.19999999999999</v>
      </c>
      <c r="P136">
        <v>136.6</v>
      </c>
      <c r="Q136">
        <f t="shared" si="6"/>
        <v>1763.6999999999998</v>
      </c>
      <c r="R136">
        <v>141</v>
      </c>
      <c r="S136">
        <v>134.6</v>
      </c>
      <c r="T136">
        <v>128.6</v>
      </c>
      <c r="U136">
        <v>133.80000000000001</v>
      </c>
      <c r="V136">
        <v>397</v>
      </c>
      <c r="W136">
        <v>127.9</v>
      </c>
      <c r="X136">
        <v>124.1</v>
      </c>
      <c r="Y136">
        <v>127.9</v>
      </c>
      <c r="Z136">
        <f t="shared" si="7"/>
        <v>255.8</v>
      </c>
      <c r="AA136">
        <v>125.4</v>
      </c>
      <c r="AB136">
        <v>114.3</v>
      </c>
      <c r="AC136">
        <v>122.9</v>
      </c>
      <c r="AD136">
        <v>131.80000000000001</v>
      </c>
      <c r="AE136">
        <v>122.1</v>
      </c>
      <c r="AF136">
        <f t="shared" si="8"/>
        <v>247.5</v>
      </c>
      <c r="AG136">
        <v>122.8</v>
      </c>
      <c r="AH136">
        <v>130.9</v>
      </c>
    </row>
    <row r="137" spans="1:34" x14ac:dyDescent="0.35">
      <c r="A137" t="s">
        <v>28</v>
      </c>
      <c r="B137">
        <v>2016</v>
      </c>
      <c r="C137" t="s">
        <v>40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f t="shared" si="6"/>
        <v>1771.8000000000002</v>
      </c>
      <c r="R137">
        <v>140.9</v>
      </c>
      <c r="S137">
        <v>139.6</v>
      </c>
      <c r="T137">
        <v>134.30000000000001</v>
      </c>
      <c r="U137">
        <v>138.80000000000001</v>
      </c>
      <c r="V137">
        <v>412.7</v>
      </c>
      <c r="W137">
        <v>128.69999999999999</v>
      </c>
      <c r="X137">
        <v>129.80000000000001</v>
      </c>
      <c r="Y137">
        <v>131.80000000000001</v>
      </c>
      <c r="Z137">
        <f t="shared" si="7"/>
        <v>260.5</v>
      </c>
      <c r="AA137">
        <v>128.69999999999999</v>
      </c>
      <c r="AB137">
        <v>117.8</v>
      </c>
      <c r="AC137">
        <v>126.5</v>
      </c>
      <c r="AD137">
        <v>133</v>
      </c>
      <c r="AE137">
        <v>123</v>
      </c>
      <c r="AF137">
        <f t="shared" si="8"/>
        <v>251.7</v>
      </c>
      <c r="AG137">
        <v>125.7</v>
      </c>
      <c r="AH137">
        <v>133.80000000000001</v>
      </c>
    </row>
    <row r="138" spans="1:34" x14ac:dyDescent="0.35">
      <c r="A138" t="s">
        <v>30</v>
      </c>
      <c r="B138">
        <v>2016</v>
      </c>
      <c r="C138" t="s">
        <v>40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f t="shared" si="6"/>
        <v>1762.8999999999999</v>
      </c>
      <c r="R138">
        <v>144.30000000000001</v>
      </c>
      <c r="S138">
        <v>129.1</v>
      </c>
      <c r="T138">
        <v>121.9</v>
      </c>
      <c r="U138">
        <v>128</v>
      </c>
      <c r="V138">
        <v>379</v>
      </c>
      <c r="W138">
        <v>128.69999999999999</v>
      </c>
      <c r="X138">
        <v>115.2</v>
      </c>
      <c r="Y138">
        <v>124.5</v>
      </c>
      <c r="Z138">
        <f t="shared" si="7"/>
        <v>253.2</v>
      </c>
      <c r="AA138">
        <v>121.8</v>
      </c>
      <c r="AB138">
        <v>112.8</v>
      </c>
      <c r="AC138">
        <v>121.2</v>
      </c>
      <c r="AD138">
        <v>131.9</v>
      </c>
      <c r="AE138">
        <v>120.8</v>
      </c>
      <c r="AF138">
        <f t="shared" si="8"/>
        <v>242.6</v>
      </c>
      <c r="AG138">
        <v>120.9</v>
      </c>
      <c r="AH138">
        <v>128.6</v>
      </c>
    </row>
    <row r="139" spans="1:34" x14ac:dyDescent="0.35">
      <c r="A139" t="s">
        <v>31</v>
      </c>
      <c r="B139">
        <v>2016</v>
      </c>
      <c r="C139" t="s">
        <v>40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f t="shared" si="6"/>
        <v>1766.7999999999995</v>
      </c>
      <c r="R139">
        <v>141.80000000000001</v>
      </c>
      <c r="S139">
        <v>135.5</v>
      </c>
      <c r="T139">
        <v>129.1</v>
      </c>
      <c r="U139">
        <v>134.5</v>
      </c>
      <c r="V139">
        <v>399.1</v>
      </c>
      <c r="W139">
        <v>128.69999999999999</v>
      </c>
      <c r="X139">
        <v>124.3</v>
      </c>
      <c r="Y139">
        <v>128.4</v>
      </c>
      <c r="Z139">
        <f t="shared" si="7"/>
        <v>257.10000000000002</v>
      </c>
      <c r="AA139">
        <v>126.1</v>
      </c>
      <c r="AB139">
        <v>115.2</v>
      </c>
      <c r="AC139">
        <v>123.5</v>
      </c>
      <c r="AD139">
        <v>132.4</v>
      </c>
      <c r="AE139">
        <v>122.1</v>
      </c>
      <c r="AF139">
        <f t="shared" si="8"/>
        <v>248.2</v>
      </c>
      <c r="AG139">
        <v>123.4</v>
      </c>
      <c r="AH139">
        <v>131.4</v>
      </c>
    </row>
    <row r="140" spans="1:34" x14ac:dyDescent="0.35">
      <c r="A140" t="s">
        <v>28</v>
      </c>
      <c r="B140">
        <v>2016</v>
      </c>
      <c r="C140" t="s">
        <v>42</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f t="shared" si="6"/>
        <v>1764.6</v>
      </c>
      <c r="R140">
        <v>141.19999999999999</v>
      </c>
      <c r="S140">
        <v>139.9</v>
      </c>
      <c r="T140">
        <v>134.5</v>
      </c>
      <c r="U140">
        <v>139.19999999999999</v>
      </c>
      <c r="V140">
        <v>413.59999999999997</v>
      </c>
      <c r="W140">
        <v>129.1</v>
      </c>
      <c r="X140">
        <v>130.30000000000001</v>
      </c>
      <c r="Y140">
        <v>132.1</v>
      </c>
      <c r="Z140">
        <f t="shared" si="7"/>
        <v>261.2</v>
      </c>
      <c r="AA140">
        <v>129.1</v>
      </c>
      <c r="AB140">
        <v>118.2</v>
      </c>
      <c r="AC140">
        <v>126.9</v>
      </c>
      <c r="AD140">
        <v>133.69999999999999</v>
      </c>
      <c r="AE140">
        <v>123.5</v>
      </c>
      <c r="AF140">
        <f t="shared" si="8"/>
        <v>252.6</v>
      </c>
      <c r="AG140">
        <v>126.1</v>
      </c>
      <c r="AH140">
        <v>133.6</v>
      </c>
    </row>
    <row r="141" spans="1:34" x14ac:dyDescent="0.35">
      <c r="A141" t="s">
        <v>30</v>
      </c>
      <c r="B141">
        <v>2016</v>
      </c>
      <c r="C141" t="s">
        <v>42</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f t="shared" si="6"/>
        <v>1755.2</v>
      </c>
      <c r="R141">
        <v>144.30000000000001</v>
      </c>
      <c r="S141">
        <v>129.6</v>
      </c>
      <c r="T141">
        <v>122.1</v>
      </c>
      <c r="U141">
        <v>128.5</v>
      </c>
      <c r="V141">
        <v>380.2</v>
      </c>
      <c r="W141">
        <v>129.1</v>
      </c>
      <c r="X141">
        <v>116.2</v>
      </c>
      <c r="Y141">
        <v>124.7</v>
      </c>
      <c r="Z141">
        <f t="shared" si="7"/>
        <v>253.8</v>
      </c>
      <c r="AA141">
        <v>122.1</v>
      </c>
      <c r="AB141">
        <v>113.4</v>
      </c>
      <c r="AC141">
        <v>121.7</v>
      </c>
      <c r="AD141">
        <v>132.1</v>
      </c>
      <c r="AE141">
        <v>121.3</v>
      </c>
      <c r="AF141">
        <f t="shared" si="8"/>
        <v>243.39999999999998</v>
      </c>
      <c r="AG141">
        <v>121.3</v>
      </c>
      <c r="AH141">
        <v>128.5</v>
      </c>
    </row>
    <row r="142" spans="1:34" x14ac:dyDescent="0.35">
      <c r="A142" t="s">
        <v>31</v>
      </c>
      <c r="B142">
        <v>2016</v>
      </c>
      <c r="C142" t="s">
        <v>42</v>
      </c>
      <c r="D142">
        <v>131.4</v>
      </c>
      <c r="E142">
        <v>137.80000000000001</v>
      </c>
      <c r="F142">
        <v>132</v>
      </c>
      <c r="G142">
        <v>135</v>
      </c>
      <c r="H142">
        <v>118</v>
      </c>
      <c r="I142">
        <v>134.1</v>
      </c>
      <c r="J142">
        <v>141.9</v>
      </c>
      <c r="K142">
        <v>171.7</v>
      </c>
      <c r="L142">
        <v>114.1</v>
      </c>
      <c r="M142">
        <v>139.69999999999999</v>
      </c>
      <c r="N142">
        <v>126.2</v>
      </c>
      <c r="O142">
        <v>141.80000000000001</v>
      </c>
      <c r="P142">
        <v>136.1</v>
      </c>
      <c r="Q142">
        <f t="shared" si="6"/>
        <v>1759.8</v>
      </c>
      <c r="R142">
        <v>142</v>
      </c>
      <c r="S142">
        <v>135.80000000000001</v>
      </c>
      <c r="T142">
        <v>129.30000000000001</v>
      </c>
      <c r="U142">
        <v>135</v>
      </c>
      <c r="V142">
        <v>400.1</v>
      </c>
      <c r="W142">
        <v>129.1</v>
      </c>
      <c r="X142">
        <v>125</v>
      </c>
      <c r="Y142">
        <v>128.6</v>
      </c>
      <c r="Z142">
        <f t="shared" si="7"/>
        <v>257.7</v>
      </c>
      <c r="AA142">
        <v>126.4</v>
      </c>
      <c r="AB142">
        <v>115.7</v>
      </c>
      <c r="AC142">
        <v>124</v>
      </c>
      <c r="AD142">
        <v>132.80000000000001</v>
      </c>
      <c r="AE142">
        <v>122.6</v>
      </c>
      <c r="AF142">
        <f t="shared" si="8"/>
        <v>249</v>
      </c>
      <c r="AG142">
        <v>123.8</v>
      </c>
      <c r="AH142">
        <v>131.19999999999999</v>
      </c>
    </row>
    <row r="143" spans="1:34" x14ac:dyDescent="0.35">
      <c r="A143" t="s">
        <v>28</v>
      </c>
      <c r="B143">
        <v>2016</v>
      </c>
      <c r="C143" t="s">
        <v>43</v>
      </c>
      <c r="D143">
        <v>132.6</v>
      </c>
      <c r="E143">
        <v>137.30000000000001</v>
      </c>
      <c r="F143">
        <v>131.6</v>
      </c>
      <c r="G143">
        <v>136.30000000000001</v>
      </c>
      <c r="H143">
        <v>121.6</v>
      </c>
      <c r="I143">
        <v>135.6</v>
      </c>
      <c r="J143">
        <v>127.5</v>
      </c>
      <c r="K143">
        <v>167.9</v>
      </c>
      <c r="L143">
        <v>113.8</v>
      </c>
      <c r="M143">
        <v>137.5</v>
      </c>
      <c r="N143">
        <v>129.1</v>
      </c>
      <c r="O143">
        <v>143.6</v>
      </c>
      <c r="P143">
        <v>134.69999999999999</v>
      </c>
      <c r="Q143">
        <f t="shared" si="6"/>
        <v>1749.1</v>
      </c>
      <c r="R143">
        <v>142.4</v>
      </c>
      <c r="S143">
        <v>140.4</v>
      </c>
      <c r="T143">
        <v>135.19999999999999</v>
      </c>
      <c r="U143">
        <v>139.69999999999999</v>
      </c>
      <c r="V143">
        <v>415.3</v>
      </c>
      <c r="W143">
        <v>128.5</v>
      </c>
      <c r="X143">
        <v>132</v>
      </c>
      <c r="Y143">
        <v>132.9</v>
      </c>
      <c r="Z143">
        <f t="shared" si="7"/>
        <v>261.39999999999998</v>
      </c>
      <c r="AA143">
        <v>129.69999999999999</v>
      </c>
      <c r="AB143">
        <v>118.6</v>
      </c>
      <c r="AC143">
        <v>127.3</v>
      </c>
      <c r="AD143">
        <v>134.19999999999999</v>
      </c>
      <c r="AE143">
        <v>121.9</v>
      </c>
      <c r="AF143">
        <f t="shared" si="8"/>
        <v>251.6</v>
      </c>
      <c r="AG143">
        <v>126.3</v>
      </c>
      <c r="AH143">
        <v>132.80000000000001</v>
      </c>
    </row>
    <row r="144" spans="1:34" x14ac:dyDescent="0.35">
      <c r="A144" t="s">
        <v>30</v>
      </c>
      <c r="B144">
        <v>2016</v>
      </c>
      <c r="C144" t="s">
        <v>43</v>
      </c>
      <c r="D144">
        <v>131.6</v>
      </c>
      <c r="E144">
        <v>138.19999999999999</v>
      </c>
      <c r="F144">
        <v>134.9</v>
      </c>
      <c r="G144">
        <v>133.1</v>
      </c>
      <c r="H144">
        <v>113.5</v>
      </c>
      <c r="I144">
        <v>129.30000000000001</v>
      </c>
      <c r="J144">
        <v>121.1</v>
      </c>
      <c r="K144">
        <v>170.3</v>
      </c>
      <c r="L144">
        <v>115.5</v>
      </c>
      <c r="M144">
        <v>145.5</v>
      </c>
      <c r="N144">
        <v>123.1</v>
      </c>
      <c r="O144">
        <v>140.9</v>
      </c>
      <c r="P144">
        <v>132.80000000000001</v>
      </c>
      <c r="Q144">
        <f t="shared" si="6"/>
        <v>1729.8</v>
      </c>
      <c r="R144">
        <v>145</v>
      </c>
      <c r="S144">
        <v>130</v>
      </c>
      <c r="T144">
        <v>122.2</v>
      </c>
      <c r="U144">
        <v>128.80000000000001</v>
      </c>
      <c r="V144">
        <v>381</v>
      </c>
      <c r="W144">
        <v>128.5</v>
      </c>
      <c r="X144">
        <v>117.8</v>
      </c>
      <c r="Y144">
        <v>125</v>
      </c>
      <c r="Z144">
        <f t="shared" si="7"/>
        <v>253.5</v>
      </c>
      <c r="AA144">
        <v>122.3</v>
      </c>
      <c r="AB144">
        <v>113.7</v>
      </c>
      <c r="AC144">
        <v>121.8</v>
      </c>
      <c r="AD144">
        <v>132.30000000000001</v>
      </c>
      <c r="AE144">
        <v>119.9</v>
      </c>
      <c r="AF144">
        <f t="shared" si="8"/>
        <v>242.2</v>
      </c>
      <c r="AG144">
        <v>121.4</v>
      </c>
      <c r="AH144">
        <v>127.6</v>
      </c>
    </row>
    <row r="145" spans="1:34" x14ac:dyDescent="0.35">
      <c r="A145" t="s">
        <v>31</v>
      </c>
      <c r="B145">
        <v>2016</v>
      </c>
      <c r="C145" t="s">
        <v>43</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f t="shared" si="6"/>
        <v>1740.7</v>
      </c>
      <c r="R145">
        <v>143.1</v>
      </c>
      <c r="S145">
        <v>136.30000000000001</v>
      </c>
      <c r="T145">
        <v>129.80000000000001</v>
      </c>
      <c r="U145">
        <v>135.4</v>
      </c>
      <c r="V145">
        <v>401.5</v>
      </c>
      <c r="W145">
        <v>128.5</v>
      </c>
      <c r="X145">
        <v>126.6</v>
      </c>
      <c r="Y145">
        <v>129.19999999999999</v>
      </c>
      <c r="Z145">
        <f t="shared" si="7"/>
        <v>257.7</v>
      </c>
      <c r="AA145">
        <v>126.9</v>
      </c>
      <c r="AB145">
        <v>116</v>
      </c>
      <c r="AC145">
        <v>124.2</v>
      </c>
      <c r="AD145">
        <v>133.1</v>
      </c>
      <c r="AE145">
        <v>121.1</v>
      </c>
      <c r="AF145">
        <f t="shared" si="8"/>
        <v>248</v>
      </c>
      <c r="AG145">
        <v>123.9</v>
      </c>
      <c r="AH145">
        <v>130.4</v>
      </c>
    </row>
    <row r="146" spans="1:34" x14ac:dyDescent="0.35">
      <c r="A146" t="s">
        <v>28</v>
      </c>
      <c r="B146">
        <v>2017</v>
      </c>
      <c r="C146" t="s">
        <v>29</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f t="shared" si="6"/>
        <v>1737.3000000000002</v>
      </c>
      <c r="R146">
        <v>143.1</v>
      </c>
      <c r="S146">
        <v>140.69999999999999</v>
      </c>
      <c r="T146">
        <v>135.80000000000001</v>
      </c>
      <c r="U146">
        <v>140</v>
      </c>
      <c r="V146">
        <v>416.5</v>
      </c>
      <c r="W146">
        <v>129.6</v>
      </c>
      <c r="X146">
        <v>132.1</v>
      </c>
      <c r="Y146">
        <v>133.19999999999999</v>
      </c>
      <c r="Z146">
        <f t="shared" si="7"/>
        <v>262.79999999999995</v>
      </c>
      <c r="AA146">
        <v>129.9</v>
      </c>
      <c r="AB146">
        <v>119.1</v>
      </c>
      <c r="AC146">
        <v>127</v>
      </c>
      <c r="AD146">
        <v>134.6</v>
      </c>
      <c r="AE146">
        <v>122.3</v>
      </c>
      <c r="AF146">
        <f t="shared" si="8"/>
        <v>252.2</v>
      </c>
      <c r="AG146">
        <v>126.6</v>
      </c>
      <c r="AH146">
        <v>132.4</v>
      </c>
    </row>
    <row r="147" spans="1:34" x14ac:dyDescent="0.35">
      <c r="A147" t="s">
        <v>30</v>
      </c>
      <c r="B147">
        <v>2017</v>
      </c>
      <c r="C147" t="s">
        <v>29</v>
      </c>
      <c r="D147">
        <v>132.19999999999999</v>
      </c>
      <c r="E147">
        <v>138.9</v>
      </c>
      <c r="F147">
        <v>132.6</v>
      </c>
      <c r="G147">
        <v>133.1</v>
      </c>
      <c r="H147">
        <v>114</v>
      </c>
      <c r="I147">
        <v>129.6</v>
      </c>
      <c r="J147">
        <v>118.7</v>
      </c>
      <c r="K147">
        <v>155.1</v>
      </c>
      <c r="L147">
        <v>117.3</v>
      </c>
      <c r="M147">
        <v>144.9</v>
      </c>
      <c r="N147">
        <v>123.2</v>
      </c>
      <c r="O147">
        <v>141.6</v>
      </c>
      <c r="P147">
        <v>132</v>
      </c>
      <c r="Q147">
        <f t="shared" si="6"/>
        <v>1713.2</v>
      </c>
      <c r="R147">
        <v>145.6</v>
      </c>
      <c r="S147">
        <v>130.19999999999999</v>
      </c>
      <c r="T147">
        <v>122.3</v>
      </c>
      <c r="U147">
        <v>129</v>
      </c>
      <c r="V147">
        <v>381.5</v>
      </c>
      <c r="W147">
        <v>129.6</v>
      </c>
      <c r="X147">
        <v>118</v>
      </c>
      <c r="Y147">
        <v>125.1</v>
      </c>
      <c r="Z147">
        <f t="shared" si="7"/>
        <v>254.7</v>
      </c>
      <c r="AA147">
        <v>122.6</v>
      </c>
      <c r="AB147">
        <v>115.2</v>
      </c>
      <c r="AC147">
        <v>122</v>
      </c>
      <c r="AD147">
        <v>132.4</v>
      </c>
      <c r="AE147">
        <v>120.9</v>
      </c>
      <c r="AF147">
        <f t="shared" si="8"/>
        <v>243.5</v>
      </c>
      <c r="AG147">
        <v>122.1</v>
      </c>
      <c r="AH147">
        <v>127.8</v>
      </c>
    </row>
    <row r="148" spans="1:34" x14ac:dyDescent="0.35">
      <c r="A148" t="s">
        <v>31</v>
      </c>
      <c r="B148">
        <v>2017</v>
      </c>
      <c r="C148" t="s">
        <v>29</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f t="shared" si="6"/>
        <v>1727.2999999999995</v>
      </c>
      <c r="R148">
        <v>143.80000000000001</v>
      </c>
      <c r="S148">
        <v>136.6</v>
      </c>
      <c r="T148">
        <v>130.19999999999999</v>
      </c>
      <c r="U148">
        <v>135.6</v>
      </c>
      <c r="V148">
        <v>402.4</v>
      </c>
      <c r="W148">
        <v>129.6</v>
      </c>
      <c r="X148">
        <v>126.8</v>
      </c>
      <c r="Y148">
        <v>129.4</v>
      </c>
      <c r="Z148">
        <f t="shared" si="7"/>
        <v>259</v>
      </c>
      <c r="AA148">
        <v>127.1</v>
      </c>
      <c r="AB148">
        <v>117</v>
      </c>
      <c r="AC148">
        <v>124.2</v>
      </c>
      <c r="AD148">
        <v>133.30000000000001</v>
      </c>
      <c r="AE148">
        <v>121.7</v>
      </c>
      <c r="AF148">
        <f t="shared" si="8"/>
        <v>248.8</v>
      </c>
      <c r="AG148">
        <v>124.4</v>
      </c>
      <c r="AH148">
        <v>130.30000000000001</v>
      </c>
    </row>
    <row r="149" spans="1:34" x14ac:dyDescent="0.35">
      <c r="A149" t="s">
        <v>28</v>
      </c>
      <c r="B149">
        <v>2017</v>
      </c>
      <c r="C149" t="s">
        <v>32</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f t="shared" si="6"/>
        <v>1734.5000000000002</v>
      </c>
      <c r="R149">
        <v>143.69999999999999</v>
      </c>
      <c r="S149">
        <v>140.9</v>
      </c>
      <c r="T149">
        <v>135.80000000000001</v>
      </c>
      <c r="U149">
        <v>140.19999999999999</v>
      </c>
      <c r="V149">
        <v>416.90000000000003</v>
      </c>
      <c r="W149">
        <v>130.5</v>
      </c>
      <c r="X149">
        <v>133.19999999999999</v>
      </c>
      <c r="Y149">
        <v>133.6</v>
      </c>
      <c r="Z149">
        <f t="shared" si="7"/>
        <v>264.10000000000002</v>
      </c>
      <c r="AA149">
        <v>130.1</v>
      </c>
      <c r="AB149">
        <v>119.5</v>
      </c>
      <c r="AC149">
        <v>127.7</v>
      </c>
      <c r="AD149">
        <v>134.9</v>
      </c>
      <c r="AE149">
        <v>123.2</v>
      </c>
      <c r="AF149">
        <f t="shared" si="8"/>
        <v>253.3</v>
      </c>
      <c r="AG149">
        <v>127</v>
      </c>
      <c r="AH149">
        <v>132.6</v>
      </c>
    </row>
    <row r="150" spans="1:34" x14ac:dyDescent="0.35">
      <c r="A150" t="s">
        <v>30</v>
      </c>
      <c r="B150">
        <v>2017</v>
      </c>
      <c r="C150" t="s">
        <v>32</v>
      </c>
      <c r="D150">
        <v>132.80000000000001</v>
      </c>
      <c r="E150">
        <v>139.80000000000001</v>
      </c>
      <c r="F150">
        <v>129.30000000000001</v>
      </c>
      <c r="G150">
        <v>133.5</v>
      </c>
      <c r="H150">
        <v>114.3</v>
      </c>
      <c r="I150">
        <v>131.4</v>
      </c>
      <c r="J150">
        <v>120.2</v>
      </c>
      <c r="K150">
        <v>143.1</v>
      </c>
      <c r="L150">
        <v>119.5</v>
      </c>
      <c r="M150">
        <v>144</v>
      </c>
      <c r="N150">
        <v>123.4</v>
      </c>
      <c r="O150">
        <v>141.9</v>
      </c>
      <c r="P150">
        <v>132.1</v>
      </c>
      <c r="Q150">
        <f t="shared" si="6"/>
        <v>1705.3000000000002</v>
      </c>
      <c r="R150">
        <v>146.30000000000001</v>
      </c>
      <c r="S150">
        <v>130.5</v>
      </c>
      <c r="T150">
        <v>122.5</v>
      </c>
      <c r="U150">
        <v>129.30000000000001</v>
      </c>
      <c r="V150">
        <v>382.3</v>
      </c>
      <c r="W150">
        <v>130.5</v>
      </c>
      <c r="X150">
        <v>119.2</v>
      </c>
      <c r="Y150">
        <v>125.3</v>
      </c>
      <c r="Z150">
        <f t="shared" si="7"/>
        <v>255.8</v>
      </c>
      <c r="AA150">
        <v>122.9</v>
      </c>
      <c r="AB150">
        <v>115.5</v>
      </c>
      <c r="AC150">
        <v>122.2</v>
      </c>
      <c r="AD150">
        <v>132.4</v>
      </c>
      <c r="AE150">
        <v>121.7</v>
      </c>
      <c r="AF150">
        <f t="shared" si="8"/>
        <v>244.60000000000002</v>
      </c>
      <c r="AG150">
        <v>122.4</v>
      </c>
      <c r="AH150">
        <v>128.19999999999999</v>
      </c>
    </row>
    <row r="151" spans="1:34" x14ac:dyDescent="0.35">
      <c r="A151" t="s">
        <v>31</v>
      </c>
      <c r="B151">
        <v>2017</v>
      </c>
      <c r="C151" t="s">
        <v>32</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f t="shared" si="6"/>
        <v>1722.3000000000002</v>
      </c>
      <c r="R151">
        <v>144.4</v>
      </c>
      <c r="S151">
        <v>136.80000000000001</v>
      </c>
      <c r="T151">
        <v>130.30000000000001</v>
      </c>
      <c r="U151">
        <v>135.9</v>
      </c>
      <c r="V151">
        <v>403</v>
      </c>
      <c r="W151">
        <v>130.5</v>
      </c>
      <c r="X151">
        <v>127.9</v>
      </c>
      <c r="Y151">
        <v>129.69999999999999</v>
      </c>
      <c r="Z151">
        <f t="shared" si="7"/>
        <v>260.2</v>
      </c>
      <c r="AA151">
        <v>127.4</v>
      </c>
      <c r="AB151">
        <v>117.4</v>
      </c>
      <c r="AC151">
        <v>124.6</v>
      </c>
      <c r="AD151">
        <v>133.4</v>
      </c>
      <c r="AE151">
        <v>122.6</v>
      </c>
      <c r="AF151">
        <f t="shared" si="8"/>
        <v>250</v>
      </c>
      <c r="AG151">
        <v>124.8</v>
      </c>
      <c r="AH151">
        <v>130.6</v>
      </c>
    </row>
    <row r="152" spans="1:34" x14ac:dyDescent="0.35">
      <c r="A152" t="s">
        <v>28</v>
      </c>
      <c r="B152">
        <v>2017</v>
      </c>
      <c r="C152" t="s">
        <v>33</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f t="shared" si="6"/>
        <v>1728.5000000000002</v>
      </c>
      <c r="R152">
        <v>144.19999999999999</v>
      </c>
      <c r="S152">
        <v>141.6</v>
      </c>
      <c r="T152">
        <v>136.19999999999999</v>
      </c>
      <c r="U152">
        <v>140.80000000000001</v>
      </c>
      <c r="V152">
        <v>418.59999999999997</v>
      </c>
      <c r="W152">
        <v>131.1</v>
      </c>
      <c r="X152">
        <v>134.19999999999999</v>
      </c>
      <c r="Y152">
        <v>134.1</v>
      </c>
      <c r="Z152">
        <f t="shared" si="7"/>
        <v>265.2</v>
      </c>
      <c r="AA152">
        <v>130.6</v>
      </c>
      <c r="AB152">
        <v>119.8</v>
      </c>
      <c r="AC152">
        <v>128.30000000000001</v>
      </c>
      <c r="AD152">
        <v>135.19999999999999</v>
      </c>
      <c r="AE152">
        <v>123.3</v>
      </c>
      <c r="AF152">
        <f t="shared" si="8"/>
        <v>253.89999999999998</v>
      </c>
      <c r="AG152">
        <v>127.4</v>
      </c>
      <c r="AH152">
        <v>132.80000000000001</v>
      </c>
    </row>
    <row r="153" spans="1:34" x14ac:dyDescent="0.35">
      <c r="A153" t="s">
        <v>30</v>
      </c>
      <c r="B153">
        <v>2017</v>
      </c>
      <c r="C153" t="s">
        <v>33</v>
      </c>
      <c r="D153">
        <v>132.69999999999999</v>
      </c>
      <c r="E153">
        <v>139.4</v>
      </c>
      <c r="F153">
        <v>128.4</v>
      </c>
      <c r="G153">
        <v>134.9</v>
      </c>
      <c r="H153">
        <v>114</v>
      </c>
      <c r="I153">
        <v>136.80000000000001</v>
      </c>
      <c r="J153">
        <v>122.2</v>
      </c>
      <c r="K153">
        <v>135.80000000000001</v>
      </c>
      <c r="L153">
        <v>120.3</v>
      </c>
      <c r="M153">
        <v>142.6</v>
      </c>
      <c r="N153">
        <v>123.6</v>
      </c>
      <c r="O153">
        <v>142.4</v>
      </c>
      <c r="P153">
        <v>132.6</v>
      </c>
      <c r="Q153">
        <f t="shared" si="6"/>
        <v>1705.6999999999998</v>
      </c>
      <c r="R153">
        <v>147.5</v>
      </c>
      <c r="S153">
        <v>130.80000000000001</v>
      </c>
      <c r="T153">
        <v>122.8</v>
      </c>
      <c r="U153">
        <v>129.6</v>
      </c>
      <c r="V153">
        <v>383.20000000000005</v>
      </c>
      <c r="W153">
        <v>131.1</v>
      </c>
      <c r="X153">
        <v>120.8</v>
      </c>
      <c r="Y153">
        <v>125.6</v>
      </c>
      <c r="Z153">
        <f t="shared" si="7"/>
        <v>256.7</v>
      </c>
      <c r="AA153">
        <v>123.1</v>
      </c>
      <c r="AB153">
        <v>115.6</v>
      </c>
      <c r="AC153">
        <v>122.4</v>
      </c>
      <c r="AD153">
        <v>132.80000000000001</v>
      </c>
      <c r="AE153">
        <v>121.7</v>
      </c>
      <c r="AF153">
        <f t="shared" si="8"/>
        <v>244.8</v>
      </c>
      <c r="AG153">
        <v>122.6</v>
      </c>
      <c r="AH153">
        <v>128.69999999999999</v>
      </c>
    </row>
    <row r="154" spans="1:34" x14ac:dyDescent="0.35">
      <c r="A154" t="s">
        <v>31</v>
      </c>
      <c r="B154">
        <v>2017</v>
      </c>
      <c r="C154" t="s">
        <v>33</v>
      </c>
      <c r="D154">
        <v>133.30000000000001</v>
      </c>
      <c r="E154">
        <v>139</v>
      </c>
      <c r="F154">
        <v>128.6</v>
      </c>
      <c r="G154">
        <v>136.30000000000001</v>
      </c>
      <c r="H154">
        <v>118.8</v>
      </c>
      <c r="I154">
        <v>138.30000000000001</v>
      </c>
      <c r="J154">
        <v>120.5</v>
      </c>
      <c r="K154">
        <v>143.9</v>
      </c>
      <c r="L154">
        <v>118</v>
      </c>
      <c r="M154">
        <v>137.9</v>
      </c>
      <c r="N154">
        <v>127.2</v>
      </c>
      <c r="O154">
        <v>144</v>
      </c>
      <c r="P154">
        <v>133.1</v>
      </c>
      <c r="Q154">
        <f t="shared" si="6"/>
        <v>1718.9</v>
      </c>
      <c r="R154">
        <v>145.1</v>
      </c>
      <c r="S154">
        <v>137.30000000000001</v>
      </c>
      <c r="T154">
        <v>130.6</v>
      </c>
      <c r="U154">
        <v>136.4</v>
      </c>
      <c r="V154">
        <v>404.29999999999995</v>
      </c>
      <c r="W154">
        <v>131.1</v>
      </c>
      <c r="X154">
        <v>129.1</v>
      </c>
      <c r="Y154">
        <v>130.1</v>
      </c>
      <c r="Z154">
        <f t="shared" si="7"/>
        <v>261.2</v>
      </c>
      <c r="AA154">
        <v>127.8</v>
      </c>
      <c r="AB154">
        <v>117.6</v>
      </c>
      <c r="AC154">
        <v>125</v>
      </c>
      <c r="AD154">
        <v>133.80000000000001</v>
      </c>
      <c r="AE154">
        <v>122.6</v>
      </c>
      <c r="AF154">
        <f t="shared" si="8"/>
        <v>250.39999999999998</v>
      </c>
      <c r="AG154">
        <v>125.1</v>
      </c>
      <c r="AH154">
        <v>130.9</v>
      </c>
    </row>
    <row r="155" spans="1:34" x14ac:dyDescent="0.35">
      <c r="A155" t="s">
        <v>28</v>
      </c>
      <c r="B155">
        <v>2017</v>
      </c>
      <c r="C155" t="s">
        <v>34</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f t="shared" si="6"/>
        <v>1726.3</v>
      </c>
      <c r="R155">
        <v>144.4</v>
      </c>
      <c r="S155">
        <v>142.4</v>
      </c>
      <c r="T155">
        <v>136.80000000000001</v>
      </c>
      <c r="U155">
        <v>141.6</v>
      </c>
      <c r="V155">
        <v>420.80000000000007</v>
      </c>
      <c r="W155">
        <v>131.69999999999999</v>
      </c>
      <c r="X155">
        <v>135</v>
      </c>
      <c r="Y155">
        <v>134.30000000000001</v>
      </c>
      <c r="Z155">
        <f t="shared" si="7"/>
        <v>266</v>
      </c>
      <c r="AA155">
        <v>131</v>
      </c>
      <c r="AB155">
        <v>119.2</v>
      </c>
      <c r="AC155">
        <v>128.30000000000001</v>
      </c>
      <c r="AD155">
        <v>135.69999999999999</v>
      </c>
      <c r="AE155">
        <v>123.7</v>
      </c>
      <c r="AF155">
        <f t="shared" si="8"/>
        <v>254.7</v>
      </c>
      <c r="AG155">
        <v>127.5</v>
      </c>
      <c r="AH155">
        <v>132.9</v>
      </c>
    </row>
    <row r="156" spans="1:34" x14ac:dyDescent="0.35">
      <c r="A156" t="s">
        <v>30</v>
      </c>
      <c r="B156">
        <v>2017</v>
      </c>
      <c r="C156" t="s">
        <v>34</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f t="shared" si="6"/>
        <v>1708.1</v>
      </c>
      <c r="R156">
        <v>148</v>
      </c>
      <c r="S156">
        <v>131.19999999999999</v>
      </c>
      <c r="T156">
        <v>123</v>
      </c>
      <c r="U156">
        <v>130</v>
      </c>
      <c r="V156">
        <v>384.2</v>
      </c>
      <c r="W156">
        <v>131.69999999999999</v>
      </c>
      <c r="X156">
        <v>121.4</v>
      </c>
      <c r="Y156">
        <v>126</v>
      </c>
      <c r="Z156">
        <f t="shared" si="7"/>
        <v>257.7</v>
      </c>
      <c r="AA156">
        <v>123.4</v>
      </c>
      <c r="AB156">
        <v>114.3</v>
      </c>
      <c r="AC156">
        <v>122.6</v>
      </c>
      <c r="AD156">
        <v>133.6</v>
      </c>
      <c r="AE156">
        <v>122.2</v>
      </c>
      <c r="AF156">
        <f t="shared" si="8"/>
        <v>245.60000000000002</v>
      </c>
      <c r="AG156">
        <v>122.5</v>
      </c>
      <c r="AH156">
        <v>129.1</v>
      </c>
    </row>
    <row r="157" spans="1:34" x14ac:dyDescent="0.35">
      <c r="A157" t="s">
        <v>31</v>
      </c>
      <c r="B157">
        <v>2017</v>
      </c>
      <c r="C157" t="s">
        <v>34</v>
      </c>
      <c r="D157">
        <v>133</v>
      </c>
      <c r="E157">
        <v>139.4</v>
      </c>
      <c r="F157">
        <v>126.1</v>
      </c>
      <c r="G157">
        <v>137.19999999999999</v>
      </c>
      <c r="H157">
        <v>118.4</v>
      </c>
      <c r="I157">
        <v>139.9</v>
      </c>
      <c r="J157">
        <v>123.4</v>
      </c>
      <c r="K157">
        <v>140.9</v>
      </c>
      <c r="L157">
        <v>118.5</v>
      </c>
      <c r="M157">
        <v>136.5</v>
      </c>
      <c r="N157">
        <v>127.4</v>
      </c>
      <c r="O157">
        <v>144.19999999999999</v>
      </c>
      <c r="P157">
        <v>133.5</v>
      </c>
      <c r="Q157">
        <f t="shared" si="6"/>
        <v>1718.4</v>
      </c>
      <c r="R157">
        <v>145.4</v>
      </c>
      <c r="S157">
        <v>138</v>
      </c>
      <c r="T157">
        <v>131.1</v>
      </c>
      <c r="U157">
        <v>137</v>
      </c>
      <c r="V157">
        <v>406.1</v>
      </c>
      <c r="W157">
        <v>131.69999999999999</v>
      </c>
      <c r="X157">
        <v>129.80000000000001</v>
      </c>
      <c r="Y157">
        <v>130.4</v>
      </c>
      <c r="Z157">
        <f t="shared" si="7"/>
        <v>262.10000000000002</v>
      </c>
      <c r="AA157">
        <v>128.1</v>
      </c>
      <c r="AB157">
        <v>116.6</v>
      </c>
      <c r="AC157">
        <v>125.1</v>
      </c>
      <c r="AD157">
        <v>134.5</v>
      </c>
      <c r="AE157">
        <v>123.1</v>
      </c>
      <c r="AF157">
        <f t="shared" si="8"/>
        <v>251.2</v>
      </c>
      <c r="AG157">
        <v>125.1</v>
      </c>
      <c r="AH157">
        <v>131.1</v>
      </c>
    </row>
    <row r="158" spans="1:34" x14ac:dyDescent="0.35">
      <c r="A158" t="s">
        <v>28</v>
      </c>
      <c r="B158">
        <v>2017</v>
      </c>
      <c r="C158" t="s">
        <v>35</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f t="shared" si="6"/>
        <v>1727.4999999999995</v>
      </c>
      <c r="R158">
        <v>145.5</v>
      </c>
      <c r="S158">
        <v>142.5</v>
      </c>
      <c r="T158">
        <v>137.30000000000001</v>
      </c>
      <c r="U158">
        <v>141.80000000000001</v>
      </c>
      <c r="V158">
        <v>421.6</v>
      </c>
      <c r="W158">
        <v>132.1</v>
      </c>
      <c r="X158">
        <v>135</v>
      </c>
      <c r="Y158">
        <v>134.9</v>
      </c>
      <c r="Z158">
        <f t="shared" si="7"/>
        <v>267</v>
      </c>
      <c r="AA158">
        <v>131.4</v>
      </c>
      <c r="AB158">
        <v>119.4</v>
      </c>
      <c r="AC158">
        <v>129.4</v>
      </c>
      <c r="AD158">
        <v>136.30000000000001</v>
      </c>
      <c r="AE158">
        <v>123.7</v>
      </c>
      <c r="AF158">
        <f t="shared" si="8"/>
        <v>255.10000000000002</v>
      </c>
      <c r="AG158">
        <v>127.9</v>
      </c>
      <c r="AH158">
        <v>133.30000000000001</v>
      </c>
    </row>
    <row r="159" spans="1:34" x14ac:dyDescent="0.35">
      <c r="A159" t="s">
        <v>30</v>
      </c>
      <c r="B159">
        <v>2017</v>
      </c>
      <c r="C159" t="s">
        <v>35</v>
      </c>
      <c r="D159">
        <v>132.6</v>
      </c>
      <c r="E159">
        <v>144.1</v>
      </c>
      <c r="F159">
        <v>125.6</v>
      </c>
      <c r="G159">
        <v>136.80000000000001</v>
      </c>
      <c r="H159">
        <v>113.4</v>
      </c>
      <c r="I159">
        <v>135.19999999999999</v>
      </c>
      <c r="J159">
        <v>129.19999999999999</v>
      </c>
      <c r="K159">
        <v>131.5</v>
      </c>
      <c r="L159">
        <v>121</v>
      </c>
      <c r="M159">
        <v>139.9</v>
      </c>
      <c r="N159">
        <v>123.8</v>
      </c>
      <c r="O159">
        <v>142.9</v>
      </c>
      <c r="P159">
        <v>133.6</v>
      </c>
      <c r="Q159">
        <f t="shared" si="6"/>
        <v>1709.6</v>
      </c>
      <c r="R159">
        <v>148.30000000000001</v>
      </c>
      <c r="S159">
        <v>131.5</v>
      </c>
      <c r="T159">
        <v>123.2</v>
      </c>
      <c r="U159">
        <v>130.19999999999999</v>
      </c>
      <c r="V159">
        <v>384.9</v>
      </c>
      <c r="W159">
        <v>132.1</v>
      </c>
      <c r="X159">
        <v>120.1</v>
      </c>
      <c r="Y159">
        <v>126.5</v>
      </c>
      <c r="Z159">
        <f t="shared" si="7"/>
        <v>258.60000000000002</v>
      </c>
      <c r="AA159">
        <v>123.6</v>
      </c>
      <c r="AB159">
        <v>114.3</v>
      </c>
      <c r="AC159">
        <v>122.8</v>
      </c>
      <c r="AD159">
        <v>133.80000000000001</v>
      </c>
      <c r="AE159">
        <v>122</v>
      </c>
      <c r="AF159">
        <f t="shared" si="8"/>
        <v>245.6</v>
      </c>
      <c r="AG159">
        <v>122.6</v>
      </c>
      <c r="AH159">
        <v>129.30000000000001</v>
      </c>
    </row>
    <row r="160" spans="1:34" x14ac:dyDescent="0.35">
      <c r="A160" t="s">
        <v>31</v>
      </c>
      <c r="B160">
        <v>2017</v>
      </c>
      <c r="C160" t="s">
        <v>35</v>
      </c>
      <c r="D160">
        <v>132.9</v>
      </c>
      <c r="E160">
        <v>141.6</v>
      </c>
      <c r="F160">
        <v>126.3</v>
      </c>
      <c r="G160">
        <v>137.69999999999999</v>
      </c>
      <c r="H160">
        <v>118.1</v>
      </c>
      <c r="I160">
        <v>137.9</v>
      </c>
      <c r="J160">
        <v>125.6</v>
      </c>
      <c r="K160">
        <v>138.30000000000001</v>
      </c>
      <c r="L160">
        <v>119.4</v>
      </c>
      <c r="M160">
        <v>136</v>
      </c>
      <c r="N160">
        <v>127.6</v>
      </c>
      <c r="O160">
        <v>144.5</v>
      </c>
      <c r="P160">
        <v>133.69999999999999</v>
      </c>
      <c r="Q160">
        <f t="shared" si="6"/>
        <v>1719.6000000000001</v>
      </c>
      <c r="R160">
        <v>146.19999999999999</v>
      </c>
      <c r="S160">
        <v>138.19999999999999</v>
      </c>
      <c r="T160">
        <v>131.4</v>
      </c>
      <c r="U160">
        <v>137.19999999999999</v>
      </c>
      <c r="V160">
        <v>406.8</v>
      </c>
      <c r="W160">
        <v>132.1</v>
      </c>
      <c r="X160">
        <v>129.4</v>
      </c>
      <c r="Y160">
        <v>130.9</v>
      </c>
      <c r="Z160">
        <f t="shared" si="7"/>
        <v>263</v>
      </c>
      <c r="AA160">
        <v>128.4</v>
      </c>
      <c r="AB160">
        <v>116.7</v>
      </c>
      <c r="AC160">
        <v>125.7</v>
      </c>
      <c r="AD160">
        <v>134.80000000000001</v>
      </c>
      <c r="AE160">
        <v>123</v>
      </c>
      <c r="AF160">
        <f t="shared" si="8"/>
        <v>251.4</v>
      </c>
      <c r="AG160">
        <v>125.3</v>
      </c>
      <c r="AH160">
        <v>131.4</v>
      </c>
    </row>
    <row r="161" spans="1:34" x14ac:dyDescent="0.35">
      <c r="A161" t="s">
        <v>28</v>
      </c>
      <c r="B161">
        <v>2017</v>
      </c>
      <c r="C161" t="s">
        <v>36</v>
      </c>
      <c r="D161">
        <v>133.5</v>
      </c>
      <c r="E161">
        <v>143.69999999999999</v>
      </c>
      <c r="F161">
        <v>128</v>
      </c>
      <c r="G161">
        <v>138.6</v>
      </c>
      <c r="H161">
        <v>120.9</v>
      </c>
      <c r="I161">
        <v>140.9</v>
      </c>
      <c r="J161">
        <v>128.80000000000001</v>
      </c>
      <c r="K161">
        <v>140.19999999999999</v>
      </c>
      <c r="L161">
        <v>118.9</v>
      </c>
      <c r="M161">
        <v>133.5</v>
      </c>
      <c r="N161">
        <v>130.4</v>
      </c>
      <c r="O161">
        <v>146.5</v>
      </c>
      <c r="P161">
        <v>134.9</v>
      </c>
      <c r="Q161">
        <f t="shared" si="6"/>
        <v>1738.8000000000002</v>
      </c>
      <c r="R161">
        <v>145.80000000000001</v>
      </c>
      <c r="S161">
        <v>143.1</v>
      </c>
      <c r="T161">
        <v>137.69999999999999</v>
      </c>
      <c r="U161">
        <v>142.30000000000001</v>
      </c>
      <c r="V161">
        <v>423.09999999999997</v>
      </c>
      <c r="W161">
        <v>131.4</v>
      </c>
      <c r="X161">
        <v>134.80000000000001</v>
      </c>
      <c r="Y161">
        <v>135.19999999999999</v>
      </c>
      <c r="Z161">
        <f t="shared" si="7"/>
        <v>266.60000000000002</v>
      </c>
      <c r="AA161">
        <v>131.30000000000001</v>
      </c>
      <c r="AB161">
        <v>119.4</v>
      </c>
      <c r="AC161">
        <v>129.80000000000001</v>
      </c>
      <c r="AD161">
        <v>136.9</v>
      </c>
      <c r="AE161">
        <v>124.1</v>
      </c>
      <c r="AF161">
        <f t="shared" si="8"/>
        <v>255.4</v>
      </c>
      <c r="AG161">
        <v>128.1</v>
      </c>
      <c r="AH161">
        <v>133.9</v>
      </c>
    </row>
    <row r="162" spans="1:34" x14ac:dyDescent="0.35">
      <c r="A162" t="s">
        <v>30</v>
      </c>
      <c r="B162">
        <v>2017</v>
      </c>
      <c r="C162" t="s">
        <v>36</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f t="shared" si="6"/>
        <v>1731.0000000000002</v>
      </c>
      <c r="R162">
        <v>148.6</v>
      </c>
      <c r="S162">
        <v>131.5</v>
      </c>
      <c r="T162">
        <v>123.2</v>
      </c>
      <c r="U162">
        <v>130.19999999999999</v>
      </c>
      <c r="V162">
        <v>384.9</v>
      </c>
      <c r="W162">
        <v>131.4</v>
      </c>
      <c r="X162">
        <v>119</v>
      </c>
      <c r="Y162">
        <v>126.8</v>
      </c>
      <c r="Z162">
        <f t="shared" si="7"/>
        <v>258.2</v>
      </c>
      <c r="AA162">
        <v>123.8</v>
      </c>
      <c r="AB162">
        <v>113.9</v>
      </c>
      <c r="AC162">
        <v>122.9</v>
      </c>
      <c r="AD162">
        <v>134.30000000000001</v>
      </c>
      <c r="AE162">
        <v>122.5</v>
      </c>
      <c r="AF162">
        <f t="shared" si="8"/>
        <v>246.3</v>
      </c>
      <c r="AG162">
        <v>122.7</v>
      </c>
      <c r="AH162">
        <v>129.9</v>
      </c>
    </row>
    <row r="163" spans="1:34" x14ac:dyDescent="0.35">
      <c r="A163" t="s">
        <v>31</v>
      </c>
      <c r="B163">
        <v>2017</v>
      </c>
      <c r="C163" t="s">
        <v>36</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f t="shared" si="6"/>
        <v>1734.7</v>
      </c>
      <c r="R163">
        <v>146.5</v>
      </c>
      <c r="S163">
        <v>138.5</v>
      </c>
      <c r="T163">
        <v>131.69999999999999</v>
      </c>
      <c r="U163">
        <v>137.5</v>
      </c>
      <c r="V163">
        <v>407.7</v>
      </c>
      <c r="W163">
        <v>131.4</v>
      </c>
      <c r="X163">
        <v>128.80000000000001</v>
      </c>
      <c r="Y163">
        <v>131.19999999999999</v>
      </c>
      <c r="Z163">
        <f t="shared" si="7"/>
        <v>262.60000000000002</v>
      </c>
      <c r="AA163">
        <v>128.5</v>
      </c>
      <c r="AB163">
        <v>116.5</v>
      </c>
      <c r="AC163">
        <v>125.9</v>
      </c>
      <c r="AD163">
        <v>135.4</v>
      </c>
      <c r="AE163">
        <v>123.4</v>
      </c>
      <c r="AF163">
        <f t="shared" si="8"/>
        <v>251.9</v>
      </c>
      <c r="AG163">
        <v>125.5</v>
      </c>
      <c r="AH163">
        <v>132</v>
      </c>
    </row>
    <row r="164" spans="1:34" x14ac:dyDescent="0.35">
      <c r="A164" t="s">
        <v>28</v>
      </c>
      <c r="B164">
        <v>2017</v>
      </c>
      <c r="C164" t="s">
        <v>37</v>
      </c>
      <c r="D164">
        <v>134</v>
      </c>
      <c r="E164">
        <v>144.19999999999999</v>
      </c>
      <c r="F164">
        <v>129.80000000000001</v>
      </c>
      <c r="G164">
        <v>139</v>
      </c>
      <c r="H164">
        <v>120.9</v>
      </c>
      <c r="I164">
        <v>143.9</v>
      </c>
      <c r="J164">
        <v>151.5</v>
      </c>
      <c r="K164">
        <v>138.1</v>
      </c>
      <c r="L164">
        <v>120</v>
      </c>
      <c r="M164">
        <v>133.9</v>
      </c>
      <c r="N164">
        <v>131.4</v>
      </c>
      <c r="O164">
        <v>147.69999999999999</v>
      </c>
      <c r="P164">
        <v>138.5</v>
      </c>
      <c r="Q164">
        <f t="shared" si="6"/>
        <v>1772.9</v>
      </c>
      <c r="R164">
        <v>147.4</v>
      </c>
      <c r="S164">
        <v>144.30000000000001</v>
      </c>
      <c r="T164">
        <v>138.1</v>
      </c>
      <c r="U164">
        <v>143.5</v>
      </c>
      <c r="V164">
        <v>425.9</v>
      </c>
      <c r="W164">
        <v>132.6</v>
      </c>
      <c r="X164">
        <v>135.30000000000001</v>
      </c>
      <c r="Y164">
        <v>136.1</v>
      </c>
      <c r="Z164">
        <f t="shared" si="7"/>
        <v>268.7</v>
      </c>
      <c r="AA164">
        <v>132.1</v>
      </c>
      <c r="AB164">
        <v>119.1</v>
      </c>
      <c r="AC164">
        <v>130.6</v>
      </c>
      <c r="AD164">
        <v>138.6</v>
      </c>
      <c r="AE164">
        <v>124.4</v>
      </c>
      <c r="AF164">
        <f t="shared" si="8"/>
        <v>256.5</v>
      </c>
      <c r="AG164">
        <v>128.6</v>
      </c>
      <c r="AH164">
        <v>136.19999999999999</v>
      </c>
    </row>
    <row r="165" spans="1:34" x14ac:dyDescent="0.35">
      <c r="A165" t="s">
        <v>30</v>
      </c>
      <c r="B165">
        <v>2017</v>
      </c>
      <c r="C165" t="s">
        <v>37</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f t="shared" si="6"/>
        <v>1768.1</v>
      </c>
      <c r="R165">
        <v>150.5</v>
      </c>
      <c r="S165">
        <v>131.6</v>
      </c>
      <c r="T165">
        <v>123.7</v>
      </c>
      <c r="U165">
        <v>130.4</v>
      </c>
      <c r="V165">
        <v>385.70000000000005</v>
      </c>
      <c r="W165">
        <v>132.6</v>
      </c>
      <c r="X165">
        <v>119.7</v>
      </c>
      <c r="Y165">
        <v>127.2</v>
      </c>
      <c r="Z165">
        <f t="shared" si="7"/>
        <v>259.8</v>
      </c>
      <c r="AA165">
        <v>125</v>
      </c>
      <c r="AB165">
        <v>113.2</v>
      </c>
      <c r="AC165">
        <v>123.5</v>
      </c>
      <c r="AD165">
        <v>135.5</v>
      </c>
      <c r="AE165">
        <v>122.4</v>
      </c>
      <c r="AF165">
        <f t="shared" si="8"/>
        <v>247.4</v>
      </c>
      <c r="AG165">
        <v>123</v>
      </c>
      <c r="AH165">
        <v>131.80000000000001</v>
      </c>
    </row>
    <row r="166" spans="1:34" x14ac:dyDescent="0.35">
      <c r="A166" t="s">
        <v>31</v>
      </c>
      <c r="B166">
        <v>2017</v>
      </c>
      <c r="C166" t="s">
        <v>37</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f t="shared" si="6"/>
        <v>1769.3999999999999</v>
      </c>
      <c r="R166">
        <v>148.19999999999999</v>
      </c>
      <c r="S166">
        <v>139.30000000000001</v>
      </c>
      <c r="T166">
        <v>132.1</v>
      </c>
      <c r="U166">
        <v>138.30000000000001</v>
      </c>
      <c r="V166">
        <v>409.7</v>
      </c>
      <c r="W166">
        <v>132.6</v>
      </c>
      <c r="X166">
        <v>129.4</v>
      </c>
      <c r="Y166">
        <v>131.9</v>
      </c>
      <c r="Z166">
        <f t="shared" si="7"/>
        <v>264.5</v>
      </c>
      <c r="AA166">
        <v>129.4</v>
      </c>
      <c r="AB166">
        <v>116</v>
      </c>
      <c r="AC166">
        <v>126.6</v>
      </c>
      <c r="AD166">
        <v>136.80000000000001</v>
      </c>
      <c r="AE166">
        <v>123.6</v>
      </c>
      <c r="AF166">
        <f t="shared" si="8"/>
        <v>253</v>
      </c>
      <c r="AG166">
        <v>125.9</v>
      </c>
      <c r="AH166">
        <v>134.19999999999999</v>
      </c>
    </row>
    <row r="167" spans="1:34" x14ac:dyDescent="0.35">
      <c r="A167" t="s">
        <v>28</v>
      </c>
      <c r="B167">
        <v>2017</v>
      </c>
      <c r="C167" t="s">
        <v>38</v>
      </c>
      <c r="D167">
        <v>134.80000000000001</v>
      </c>
      <c r="E167">
        <v>143.1</v>
      </c>
      <c r="F167">
        <v>130</v>
      </c>
      <c r="G167">
        <v>139.4</v>
      </c>
      <c r="H167">
        <v>120.5</v>
      </c>
      <c r="I167">
        <v>148</v>
      </c>
      <c r="J167">
        <v>162.9</v>
      </c>
      <c r="K167">
        <v>137.4</v>
      </c>
      <c r="L167">
        <v>120.8</v>
      </c>
      <c r="M167">
        <v>134.69999999999999</v>
      </c>
      <c r="N167">
        <v>131.6</v>
      </c>
      <c r="O167">
        <v>148.69999999999999</v>
      </c>
      <c r="P167">
        <v>140.6</v>
      </c>
      <c r="Q167">
        <f t="shared" si="6"/>
        <v>1792.4999999999998</v>
      </c>
      <c r="R167">
        <v>149</v>
      </c>
      <c r="S167">
        <v>145.30000000000001</v>
      </c>
      <c r="T167">
        <v>139.19999999999999</v>
      </c>
      <c r="U167">
        <v>144.5</v>
      </c>
      <c r="V167">
        <v>429</v>
      </c>
      <c r="W167">
        <v>134.4</v>
      </c>
      <c r="X167">
        <v>136.4</v>
      </c>
      <c r="Y167">
        <v>137.30000000000001</v>
      </c>
      <c r="Z167">
        <f t="shared" si="7"/>
        <v>271.70000000000005</v>
      </c>
      <c r="AA167">
        <v>133</v>
      </c>
      <c r="AB167">
        <v>120.3</v>
      </c>
      <c r="AC167">
        <v>131.5</v>
      </c>
      <c r="AD167">
        <v>140.19999999999999</v>
      </c>
      <c r="AE167">
        <v>125.4</v>
      </c>
      <c r="AF167">
        <f t="shared" si="8"/>
        <v>258.39999999999998</v>
      </c>
      <c r="AG167">
        <v>129.69999999999999</v>
      </c>
      <c r="AH167">
        <v>137.80000000000001</v>
      </c>
    </row>
    <row r="168" spans="1:34" x14ac:dyDescent="0.35">
      <c r="A168" t="s">
        <v>30</v>
      </c>
      <c r="B168">
        <v>2017</v>
      </c>
      <c r="C168" t="s">
        <v>38</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f t="shared" si="6"/>
        <v>1772.9999999999998</v>
      </c>
      <c r="R168">
        <v>152.1</v>
      </c>
      <c r="S168">
        <v>132.69999999999999</v>
      </c>
      <c r="T168">
        <v>124.3</v>
      </c>
      <c r="U168">
        <v>131.4</v>
      </c>
      <c r="V168">
        <v>388.4</v>
      </c>
      <c r="W168">
        <v>134.4</v>
      </c>
      <c r="X168">
        <v>118.9</v>
      </c>
      <c r="Y168">
        <v>127.7</v>
      </c>
      <c r="Z168">
        <f t="shared" si="7"/>
        <v>262.10000000000002</v>
      </c>
      <c r="AA168">
        <v>125.7</v>
      </c>
      <c r="AB168">
        <v>114.6</v>
      </c>
      <c r="AC168">
        <v>124.1</v>
      </c>
      <c r="AD168">
        <v>135.69999999999999</v>
      </c>
      <c r="AE168">
        <v>123.3</v>
      </c>
      <c r="AF168">
        <f t="shared" si="8"/>
        <v>249</v>
      </c>
      <c r="AG168">
        <v>123.8</v>
      </c>
      <c r="AH168">
        <v>132.69999999999999</v>
      </c>
    </row>
    <row r="169" spans="1:34" x14ac:dyDescent="0.35">
      <c r="A169" t="s">
        <v>31</v>
      </c>
      <c r="B169">
        <v>2017</v>
      </c>
      <c r="C169" t="s">
        <v>38</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f t="shared" si="6"/>
        <v>1783.8</v>
      </c>
      <c r="R169">
        <v>149.80000000000001</v>
      </c>
      <c r="S169">
        <v>140.30000000000001</v>
      </c>
      <c r="T169">
        <v>133</v>
      </c>
      <c r="U169">
        <v>139.30000000000001</v>
      </c>
      <c r="V169">
        <v>412.6</v>
      </c>
      <c r="W169">
        <v>134.4</v>
      </c>
      <c r="X169">
        <v>129.80000000000001</v>
      </c>
      <c r="Y169">
        <v>132.80000000000001</v>
      </c>
      <c r="Z169">
        <f t="shared" si="7"/>
        <v>267.20000000000005</v>
      </c>
      <c r="AA169">
        <v>130.19999999999999</v>
      </c>
      <c r="AB169">
        <v>117.3</v>
      </c>
      <c r="AC169">
        <v>127.3</v>
      </c>
      <c r="AD169">
        <v>137.6</v>
      </c>
      <c r="AE169">
        <v>124.5</v>
      </c>
      <c r="AF169">
        <f t="shared" si="8"/>
        <v>254.7</v>
      </c>
      <c r="AG169">
        <v>126.8</v>
      </c>
      <c r="AH169">
        <v>135.4</v>
      </c>
    </row>
    <row r="170" spans="1:34" x14ac:dyDescent="0.35">
      <c r="A170" t="s">
        <v>28</v>
      </c>
      <c r="B170">
        <v>2017</v>
      </c>
      <c r="C170" t="s">
        <v>39</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f t="shared" si="6"/>
        <v>1784.3</v>
      </c>
      <c r="R170">
        <v>149.80000000000001</v>
      </c>
      <c r="S170">
        <v>146.1</v>
      </c>
      <c r="T170">
        <v>139.69999999999999</v>
      </c>
      <c r="U170">
        <v>145.19999999999999</v>
      </c>
      <c r="V170">
        <v>430.99999999999994</v>
      </c>
      <c r="W170">
        <v>135.69999999999999</v>
      </c>
      <c r="X170">
        <v>137.4</v>
      </c>
      <c r="Y170">
        <v>137.9</v>
      </c>
      <c r="Z170">
        <f t="shared" si="7"/>
        <v>273.60000000000002</v>
      </c>
      <c r="AA170">
        <v>133.4</v>
      </c>
      <c r="AB170">
        <v>121.2</v>
      </c>
      <c r="AC170">
        <v>132.30000000000001</v>
      </c>
      <c r="AD170">
        <v>139.6</v>
      </c>
      <c r="AE170">
        <v>126.7</v>
      </c>
      <c r="AF170">
        <f t="shared" si="8"/>
        <v>260.10000000000002</v>
      </c>
      <c r="AG170">
        <v>130.30000000000001</v>
      </c>
      <c r="AH170">
        <v>137.6</v>
      </c>
    </row>
    <row r="171" spans="1:34" x14ac:dyDescent="0.35">
      <c r="A171" t="s">
        <v>30</v>
      </c>
      <c r="B171">
        <v>2017</v>
      </c>
      <c r="C171" t="s">
        <v>39</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f t="shared" si="6"/>
        <v>1749.7</v>
      </c>
      <c r="R171">
        <v>153.6</v>
      </c>
      <c r="S171">
        <v>133.30000000000001</v>
      </c>
      <c r="T171">
        <v>124.6</v>
      </c>
      <c r="U171">
        <v>132</v>
      </c>
      <c r="V171">
        <v>389.9</v>
      </c>
      <c r="W171">
        <v>135.69999999999999</v>
      </c>
      <c r="X171">
        <v>120.6</v>
      </c>
      <c r="Y171">
        <v>128.1</v>
      </c>
      <c r="Z171">
        <f t="shared" si="7"/>
        <v>263.79999999999995</v>
      </c>
      <c r="AA171">
        <v>126.1</v>
      </c>
      <c r="AB171">
        <v>115.7</v>
      </c>
      <c r="AC171">
        <v>124.5</v>
      </c>
      <c r="AD171">
        <v>135.9</v>
      </c>
      <c r="AE171">
        <v>124.4</v>
      </c>
      <c r="AF171">
        <f t="shared" si="8"/>
        <v>250.5</v>
      </c>
      <c r="AG171">
        <v>124.5</v>
      </c>
      <c r="AH171">
        <v>132.4</v>
      </c>
    </row>
    <row r="172" spans="1:34" x14ac:dyDescent="0.35">
      <c r="A172" t="s">
        <v>31</v>
      </c>
      <c r="B172">
        <v>2017</v>
      </c>
      <c r="C172" t="s">
        <v>39</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f t="shared" si="6"/>
        <v>1769.9999999999998</v>
      </c>
      <c r="R172">
        <v>150.80000000000001</v>
      </c>
      <c r="S172">
        <v>141.1</v>
      </c>
      <c r="T172">
        <v>133.4</v>
      </c>
      <c r="U172">
        <v>140</v>
      </c>
      <c r="V172">
        <v>414.5</v>
      </c>
      <c r="W172">
        <v>135.69999999999999</v>
      </c>
      <c r="X172">
        <v>131</v>
      </c>
      <c r="Y172">
        <v>133.30000000000001</v>
      </c>
      <c r="Z172">
        <f t="shared" si="7"/>
        <v>269</v>
      </c>
      <c r="AA172">
        <v>130.6</v>
      </c>
      <c r="AB172">
        <v>118.3</v>
      </c>
      <c r="AC172">
        <v>127.9</v>
      </c>
      <c r="AD172">
        <v>137.4</v>
      </c>
      <c r="AE172">
        <v>125.7</v>
      </c>
      <c r="AF172">
        <f t="shared" si="8"/>
        <v>256.3</v>
      </c>
      <c r="AG172">
        <v>127.5</v>
      </c>
      <c r="AH172">
        <v>135.19999999999999</v>
      </c>
    </row>
    <row r="173" spans="1:34" x14ac:dyDescent="0.35">
      <c r="A173" t="s">
        <v>28</v>
      </c>
      <c r="B173">
        <v>2017</v>
      </c>
      <c r="C173" t="s">
        <v>40</v>
      </c>
      <c r="D173">
        <v>135.9</v>
      </c>
      <c r="E173">
        <v>141.9</v>
      </c>
      <c r="F173">
        <v>131</v>
      </c>
      <c r="G173">
        <v>141.5</v>
      </c>
      <c r="H173">
        <v>121.4</v>
      </c>
      <c r="I173">
        <v>146.69999999999999</v>
      </c>
      <c r="J173">
        <v>157.1</v>
      </c>
      <c r="K173">
        <v>136.4</v>
      </c>
      <c r="L173">
        <v>121.4</v>
      </c>
      <c r="M173">
        <v>135.6</v>
      </c>
      <c r="N173">
        <v>131.30000000000001</v>
      </c>
      <c r="O173">
        <v>150.30000000000001</v>
      </c>
      <c r="P173">
        <v>140.4</v>
      </c>
      <c r="Q173">
        <f t="shared" si="6"/>
        <v>1790.8999999999999</v>
      </c>
      <c r="R173">
        <v>150.5</v>
      </c>
      <c r="S173">
        <v>147.19999999999999</v>
      </c>
      <c r="T173">
        <v>140.6</v>
      </c>
      <c r="U173">
        <v>146.19999999999999</v>
      </c>
      <c r="V173">
        <v>433.99999999999994</v>
      </c>
      <c r="W173">
        <v>137.30000000000001</v>
      </c>
      <c r="X173">
        <v>138.1</v>
      </c>
      <c r="Y173">
        <v>138.4</v>
      </c>
      <c r="Z173">
        <f t="shared" si="7"/>
        <v>275.70000000000005</v>
      </c>
      <c r="AA173">
        <v>134.19999999999999</v>
      </c>
      <c r="AB173">
        <v>121</v>
      </c>
      <c r="AC173">
        <v>133</v>
      </c>
      <c r="AD173">
        <v>140.1</v>
      </c>
      <c r="AE173">
        <v>127.4</v>
      </c>
      <c r="AF173">
        <f t="shared" si="8"/>
        <v>261.60000000000002</v>
      </c>
      <c r="AG173">
        <v>130.69999999999999</v>
      </c>
      <c r="AH173">
        <v>138.30000000000001</v>
      </c>
    </row>
    <row r="174" spans="1:34" x14ac:dyDescent="0.35">
      <c r="A174" t="s">
        <v>30</v>
      </c>
      <c r="B174">
        <v>2017</v>
      </c>
      <c r="C174" t="s">
        <v>40</v>
      </c>
      <c r="D174">
        <v>133.9</v>
      </c>
      <c r="E174">
        <v>142.80000000000001</v>
      </c>
      <c r="F174">
        <v>131.4</v>
      </c>
      <c r="G174">
        <v>139.1</v>
      </c>
      <c r="H174">
        <v>114.9</v>
      </c>
      <c r="I174">
        <v>135.6</v>
      </c>
      <c r="J174">
        <v>173.2</v>
      </c>
      <c r="K174">
        <v>124.1</v>
      </c>
      <c r="L174">
        <v>122.6</v>
      </c>
      <c r="M174">
        <v>137.80000000000001</v>
      </c>
      <c r="N174">
        <v>125.1</v>
      </c>
      <c r="O174">
        <v>145.5</v>
      </c>
      <c r="P174">
        <v>139.69999999999999</v>
      </c>
      <c r="Q174">
        <f t="shared" si="6"/>
        <v>1765.6999999999998</v>
      </c>
      <c r="R174">
        <v>154.6</v>
      </c>
      <c r="S174">
        <v>134</v>
      </c>
      <c r="T174">
        <v>124.9</v>
      </c>
      <c r="U174">
        <v>132.6</v>
      </c>
      <c r="V174">
        <v>391.5</v>
      </c>
      <c r="W174">
        <v>137.30000000000001</v>
      </c>
      <c r="X174">
        <v>122.6</v>
      </c>
      <c r="Y174">
        <v>128.30000000000001</v>
      </c>
      <c r="Z174">
        <f t="shared" si="7"/>
        <v>265.60000000000002</v>
      </c>
      <c r="AA174">
        <v>126.6</v>
      </c>
      <c r="AB174">
        <v>115</v>
      </c>
      <c r="AC174">
        <v>124.8</v>
      </c>
      <c r="AD174">
        <v>136.30000000000001</v>
      </c>
      <c r="AE174">
        <v>124.6</v>
      </c>
      <c r="AF174">
        <f t="shared" si="8"/>
        <v>251.2</v>
      </c>
      <c r="AG174">
        <v>124.5</v>
      </c>
      <c r="AH174">
        <v>133.5</v>
      </c>
    </row>
    <row r="175" spans="1:34" x14ac:dyDescent="0.35">
      <c r="A175" t="s">
        <v>31</v>
      </c>
      <c r="B175">
        <v>2017</v>
      </c>
      <c r="C175" t="s">
        <v>40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f t="shared" si="6"/>
        <v>1779.6999999999998</v>
      </c>
      <c r="R175">
        <v>151.6</v>
      </c>
      <c r="S175">
        <v>142</v>
      </c>
      <c r="T175">
        <v>134.1</v>
      </c>
      <c r="U175">
        <v>140.80000000000001</v>
      </c>
      <c r="V175">
        <v>416.90000000000003</v>
      </c>
      <c r="W175">
        <v>137.30000000000001</v>
      </c>
      <c r="X175">
        <v>132.19999999999999</v>
      </c>
      <c r="Y175">
        <v>133.6</v>
      </c>
      <c r="Z175">
        <f t="shared" si="7"/>
        <v>270.89999999999998</v>
      </c>
      <c r="AA175">
        <v>131.30000000000001</v>
      </c>
      <c r="AB175">
        <v>117.8</v>
      </c>
      <c r="AC175">
        <v>128.4</v>
      </c>
      <c r="AD175">
        <v>137.9</v>
      </c>
      <c r="AE175">
        <v>126.2</v>
      </c>
      <c r="AF175">
        <f t="shared" si="8"/>
        <v>257.5</v>
      </c>
      <c r="AG175">
        <v>127.7</v>
      </c>
      <c r="AH175">
        <v>136.1</v>
      </c>
    </row>
    <row r="176" spans="1:34" x14ac:dyDescent="0.35">
      <c r="A176" t="s">
        <v>28</v>
      </c>
      <c r="B176">
        <v>2017</v>
      </c>
      <c r="C176" t="s">
        <v>42</v>
      </c>
      <c r="D176">
        <v>136.30000000000001</v>
      </c>
      <c r="E176">
        <v>142.5</v>
      </c>
      <c r="F176">
        <v>140.5</v>
      </c>
      <c r="G176">
        <v>141.5</v>
      </c>
      <c r="H176">
        <v>121.6</v>
      </c>
      <c r="I176">
        <v>147.30000000000001</v>
      </c>
      <c r="J176">
        <v>168</v>
      </c>
      <c r="K176">
        <v>135.80000000000001</v>
      </c>
      <c r="L176">
        <v>122.5</v>
      </c>
      <c r="M176">
        <v>136</v>
      </c>
      <c r="N176">
        <v>131.9</v>
      </c>
      <c r="O176">
        <v>151.4</v>
      </c>
      <c r="P176">
        <v>142.4</v>
      </c>
      <c r="Q176">
        <f t="shared" si="6"/>
        <v>1817.7000000000003</v>
      </c>
      <c r="R176">
        <v>152.1</v>
      </c>
      <c r="S176">
        <v>148.19999999999999</v>
      </c>
      <c r="T176">
        <v>141.5</v>
      </c>
      <c r="U176">
        <v>147.30000000000001</v>
      </c>
      <c r="V176">
        <v>437</v>
      </c>
      <c r="W176">
        <v>138.6</v>
      </c>
      <c r="X176">
        <v>141.1</v>
      </c>
      <c r="Y176">
        <v>139.4</v>
      </c>
      <c r="Z176">
        <f t="shared" si="7"/>
        <v>278</v>
      </c>
      <c r="AA176">
        <v>135.80000000000001</v>
      </c>
      <c r="AB176">
        <v>121.6</v>
      </c>
      <c r="AC176">
        <v>133.69999999999999</v>
      </c>
      <c r="AD176">
        <v>141.5</v>
      </c>
      <c r="AE176">
        <v>128.1</v>
      </c>
      <c r="AF176">
        <f t="shared" si="8"/>
        <v>263.89999999999998</v>
      </c>
      <c r="AG176">
        <v>131.69999999999999</v>
      </c>
      <c r="AH176">
        <v>140</v>
      </c>
    </row>
    <row r="177" spans="1:34" x14ac:dyDescent="0.35">
      <c r="A177" t="s">
        <v>30</v>
      </c>
      <c r="B177">
        <v>2017</v>
      </c>
      <c r="C177" t="s">
        <v>42</v>
      </c>
      <c r="D177">
        <v>134.30000000000001</v>
      </c>
      <c r="E177">
        <v>142.1</v>
      </c>
      <c r="F177">
        <v>146.69999999999999</v>
      </c>
      <c r="G177">
        <v>139.5</v>
      </c>
      <c r="H177">
        <v>115.2</v>
      </c>
      <c r="I177">
        <v>136.4</v>
      </c>
      <c r="J177">
        <v>185.2</v>
      </c>
      <c r="K177">
        <v>122.2</v>
      </c>
      <c r="L177">
        <v>123.9</v>
      </c>
      <c r="M177">
        <v>138.30000000000001</v>
      </c>
      <c r="N177">
        <v>125.4</v>
      </c>
      <c r="O177">
        <v>146</v>
      </c>
      <c r="P177">
        <v>141.5</v>
      </c>
      <c r="Q177">
        <f t="shared" si="6"/>
        <v>1796.7</v>
      </c>
      <c r="R177">
        <v>156.19999999999999</v>
      </c>
      <c r="S177">
        <v>135</v>
      </c>
      <c r="T177">
        <v>125.4</v>
      </c>
      <c r="U177">
        <v>133.5</v>
      </c>
      <c r="V177">
        <v>393.9</v>
      </c>
      <c r="W177">
        <v>138.6</v>
      </c>
      <c r="X177">
        <v>125.7</v>
      </c>
      <c r="Y177">
        <v>128.80000000000001</v>
      </c>
      <c r="Z177">
        <f t="shared" si="7"/>
        <v>267.39999999999998</v>
      </c>
      <c r="AA177">
        <v>127.4</v>
      </c>
      <c r="AB177">
        <v>115.3</v>
      </c>
      <c r="AC177">
        <v>125.1</v>
      </c>
      <c r="AD177">
        <v>136.6</v>
      </c>
      <c r="AE177">
        <v>124.9</v>
      </c>
      <c r="AF177">
        <f t="shared" si="8"/>
        <v>252.3</v>
      </c>
      <c r="AG177">
        <v>124.9</v>
      </c>
      <c r="AH177">
        <v>134.80000000000001</v>
      </c>
    </row>
    <row r="178" spans="1:34" x14ac:dyDescent="0.35">
      <c r="A178" t="s">
        <v>31</v>
      </c>
      <c r="B178">
        <v>2017</v>
      </c>
      <c r="C178" t="s">
        <v>42</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f t="shared" si="6"/>
        <v>1808.2</v>
      </c>
      <c r="R178">
        <v>153.19999999999999</v>
      </c>
      <c r="S178">
        <v>143</v>
      </c>
      <c r="T178">
        <v>134.80000000000001</v>
      </c>
      <c r="U178">
        <v>141.80000000000001</v>
      </c>
      <c r="V178">
        <v>419.6</v>
      </c>
      <c r="W178">
        <v>138.6</v>
      </c>
      <c r="X178">
        <v>135.30000000000001</v>
      </c>
      <c r="Y178">
        <v>134.4</v>
      </c>
      <c r="Z178">
        <f t="shared" si="7"/>
        <v>273</v>
      </c>
      <c r="AA178">
        <v>132.6</v>
      </c>
      <c r="AB178">
        <v>118.3</v>
      </c>
      <c r="AC178">
        <v>128.9</v>
      </c>
      <c r="AD178">
        <v>138.6</v>
      </c>
      <c r="AE178">
        <v>126.8</v>
      </c>
      <c r="AF178">
        <f t="shared" si="8"/>
        <v>259.39999999999998</v>
      </c>
      <c r="AG178">
        <v>128.4</v>
      </c>
      <c r="AH178">
        <v>137.6</v>
      </c>
    </row>
    <row r="179" spans="1:34" x14ac:dyDescent="0.35">
      <c r="A179" t="s">
        <v>28</v>
      </c>
      <c r="B179">
        <v>2017</v>
      </c>
      <c r="C179" t="s">
        <v>43</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f t="shared" si="6"/>
        <v>1813.6000000000001</v>
      </c>
      <c r="R179">
        <v>153.19999999999999</v>
      </c>
      <c r="S179">
        <v>148</v>
      </c>
      <c r="T179">
        <v>141.9</v>
      </c>
      <c r="U179">
        <v>147.19999999999999</v>
      </c>
      <c r="V179">
        <v>437.09999999999997</v>
      </c>
      <c r="W179">
        <v>139.1</v>
      </c>
      <c r="X179">
        <v>142.6</v>
      </c>
      <c r="Y179">
        <v>139.5</v>
      </c>
      <c r="Z179">
        <f t="shared" si="7"/>
        <v>278.60000000000002</v>
      </c>
      <c r="AA179">
        <v>136.1</v>
      </c>
      <c r="AB179">
        <v>122</v>
      </c>
      <c r="AC179">
        <v>133.4</v>
      </c>
      <c r="AD179">
        <v>141.1</v>
      </c>
      <c r="AE179">
        <v>127.8</v>
      </c>
      <c r="AF179">
        <f t="shared" si="8"/>
        <v>263.89999999999998</v>
      </c>
      <c r="AG179">
        <v>131.9</v>
      </c>
      <c r="AH179">
        <v>139.80000000000001</v>
      </c>
    </row>
    <row r="180" spans="1:34" x14ac:dyDescent="0.35">
      <c r="A180" t="s">
        <v>30</v>
      </c>
      <c r="B180">
        <v>2017</v>
      </c>
      <c r="C180" t="s">
        <v>43</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f t="shared" si="6"/>
        <v>1767.5</v>
      </c>
      <c r="R180">
        <v>157</v>
      </c>
      <c r="S180">
        <v>135.6</v>
      </c>
      <c r="T180">
        <v>125.6</v>
      </c>
      <c r="U180">
        <v>134</v>
      </c>
      <c r="V180">
        <v>395.2</v>
      </c>
      <c r="W180">
        <v>139.1</v>
      </c>
      <c r="X180">
        <v>126.8</v>
      </c>
      <c r="Y180">
        <v>129.30000000000001</v>
      </c>
      <c r="Z180">
        <f t="shared" si="7"/>
        <v>268.39999999999998</v>
      </c>
      <c r="AA180">
        <v>128.19999999999999</v>
      </c>
      <c r="AB180">
        <v>115.3</v>
      </c>
      <c r="AC180">
        <v>125.6</v>
      </c>
      <c r="AD180">
        <v>136.69999999999999</v>
      </c>
      <c r="AE180">
        <v>124.6</v>
      </c>
      <c r="AF180">
        <f t="shared" si="8"/>
        <v>252.79999999999998</v>
      </c>
      <c r="AG180">
        <v>125.1</v>
      </c>
      <c r="AH180">
        <v>134.1</v>
      </c>
    </row>
    <row r="181" spans="1:34" x14ac:dyDescent="0.35">
      <c r="A181" t="s">
        <v>31</v>
      </c>
      <c r="B181">
        <v>2017</v>
      </c>
      <c r="C181" t="s">
        <v>43</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f t="shared" si="6"/>
        <v>1794.9999999999998</v>
      </c>
      <c r="R181">
        <v>154.19999999999999</v>
      </c>
      <c r="S181">
        <v>143.1</v>
      </c>
      <c r="T181">
        <v>135.1</v>
      </c>
      <c r="U181">
        <v>142</v>
      </c>
      <c r="V181">
        <v>420.2</v>
      </c>
      <c r="W181">
        <v>139.1</v>
      </c>
      <c r="X181">
        <v>136.6</v>
      </c>
      <c r="Y181">
        <v>134.69999999999999</v>
      </c>
      <c r="Z181">
        <f t="shared" si="7"/>
        <v>273.79999999999995</v>
      </c>
      <c r="AA181">
        <v>133.1</v>
      </c>
      <c r="AB181">
        <v>118.5</v>
      </c>
      <c r="AC181">
        <v>129</v>
      </c>
      <c r="AD181">
        <v>138.5</v>
      </c>
      <c r="AE181">
        <v>126.5</v>
      </c>
      <c r="AF181">
        <f t="shared" si="8"/>
        <v>259.60000000000002</v>
      </c>
      <c r="AG181">
        <v>128.6</v>
      </c>
      <c r="AH181">
        <v>137.19999999999999</v>
      </c>
    </row>
    <row r="182" spans="1:34" x14ac:dyDescent="0.35">
      <c r="A182" t="s">
        <v>28</v>
      </c>
      <c r="B182">
        <v>2018</v>
      </c>
      <c r="C182" t="s">
        <v>29</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f t="shared" si="6"/>
        <v>1800.7</v>
      </c>
      <c r="R182">
        <v>153.6</v>
      </c>
      <c r="S182">
        <v>148.30000000000001</v>
      </c>
      <c r="T182">
        <v>142.30000000000001</v>
      </c>
      <c r="U182">
        <v>147.5</v>
      </c>
      <c r="V182">
        <v>438.1</v>
      </c>
      <c r="W182">
        <v>140.4</v>
      </c>
      <c r="X182">
        <v>142.30000000000001</v>
      </c>
      <c r="Y182">
        <v>139.80000000000001</v>
      </c>
      <c r="Z182">
        <f t="shared" si="7"/>
        <v>280.20000000000005</v>
      </c>
      <c r="AA182">
        <v>136</v>
      </c>
      <c r="AB182">
        <v>122.7</v>
      </c>
      <c r="AC182">
        <v>134.30000000000001</v>
      </c>
      <c r="AD182">
        <v>141.6</v>
      </c>
      <c r="AE182">
        <v>128.6</v>
      </c>
      <c r="AF182">
        <f t="shared" si="8"/>
        <v>264.60000000000002</v>
      </c>
      <c r="AG182">
        <v>132.30000000000001</v>
      </c>
      <c r="AH182">
        <v>139.30000000000001</v>
      </c>
    </row>
    <row r="183" spans="1:34" x14ac:dyDescent="0.35">
      <c r="A183" t="s">
        <v>30</v>
      </c>
      <c r="B183">
        <v>2018</v>
      </c>
      <c r="C183" t="s">
        <v>29</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f t="shared" si="6"/>
        <v>1748.3000000000002</v>
      </c>
      <c r="R183">
        <v>157.69999999999999</v>
      </c>
      <c r="S183">
        <v>136</v>
      </c>
      <c r="T183">
        <v>125.9</v>
      </c>
      <c r="U183">
        <v>134.4</v>
      </c>
      <c r="V183">
        <v>396.29999999999995</v>
      </c>
      <c r="W183">
        <v>140.4</v>
      </c>
      <c r="X183">
        <v>127.3</v>
      </c>
      <c r="Y183">
        <v>129.5</v>
      </c>
      <c r="Z183">
        <f t="shared" si="7"/>
        <v>269.89999999999998</v>
      </c>
      <c r="AA183">
        <v>129</v>
      </c>
      <c r="AB183">
        <v>116.3</v>
      </c>
      <c r="AC183">
        <v>126.2</v>
      </c>
      <c r="AD183">
        <v>137.1</v>
      </c>
      <c r="AE183">
        <v>125.5</v>
      </c>
      <c r="AF183">
        <f t="shared" si="8"/>
        <v>254.5</v>
      </c>
      <c r="AG183">
        <v>125.8</v>
      </c>
      <c r="AH183">
        <v>134.1</v>
      </c>
    </row>
    <row r="184" spans="1:34" x14ac:dyDescent="0.35">
      <c r="A184" t="s">
        <v>31</v>
      </c>
      <c r="B184">
        <v>2018</v>
      </c>
      <c r="C184" t="s">
        <v>29</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f t="shared" si="6"/>
        <v>1779.9</v>
      </c>
      <c r="R184">
        <v>154.69999999999999</v>
      </c>
      <c r="S184">
        <v>143.5</v>
      </c>
      <c r="T184">
        <v>135.5</v>
      </c>
      <c r="U184">
        <v>142.30000000000001</v>
      </c>
      <c r="V184">
        <v>421.3</v>
      </c>
      <c r="W184">
        <v>140.4</v>
      </c>
      <c r="X184">
        <v>136.6</v>
      </c>
      <c r="Y184">
        <v>134.9</v>
      </c>
      <c r="Z184">
        <f t="shared" si="7"/>
        <v>275.3</v>
      </c>
      <c r="AA184">
        <v>133.30000000000001</v>
      </c>
      <c r="AB184">
        <v>119.3</v>
      </c>
      <c r="AC184">
        <v>129.69999999999999</v>
      </c>
      <c r="AD184">
        <v>139</v>
      </c>
      <c r="AE184">
        <v>127.3</v>
      </c>
      <c r="AF184">
        <f t="shared" si="8"/>
        <v>260.60000000000002</v>
      </c>
      <c r="AG184">
        <v>129.1</v>
      </c>
      <c r="AH184">
        <v>136.9</v>
      </c>
    </row>
    <row r="185" spans="1:34" x14ac:dyDescent="0.35">
      <c r="A185" t="s">
        <v>28</v>
      </c>
      <c r="B185">
        <v>2018</v>
      </c>
      <c r="C185" t="s">
        <v>32</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f t="shared" si="6"/>
        <v>1781.5</v>
      </c>
      <c r="R185">
        <v>153.30000000000001</v>
      </c>
      <c r="S185">
        <v>148.69999999999999</v>
      </c>
      <c r="T185">
        <v>142.4</v>
      </c>
      <c r="U185">
        <v>147.80000000000001</v>
      </c>
      <c r="V185">
        <v>438.90000000000003</v>
      </c>
      <c r="W185">
        <v>141.30000000000001</v>
      </c>
      <c r="X185">
        <v>142.4</v>
      </c>
      <c r="Y185">
        <v>139.9</v>
      </c>
      <c r="Z185">
        <f t="shared" si="7"/>
        <v>281.20000000000005</v>
      </c>
      <c r="AA185">
        <v>136.19999999999999</v>
      </c>
      <c r="AB185">
        <v>123.3</v>
      </c>
      <c r="AC185">
        <v>134.30000000000001</v>
      </c>
      <c r="AD185">
        <v>141.5</v>
      </c>
      <c r="AE185">
        <v>128.80000000000001</v>
      </c>
      <c r="AF185">
        <f t="shared" si="8"/>
        <v>265</v>
      </c>
      <c r="AG185">
        <v>132.5</v>
      </c>
      <c r="AH185">
        <v>138.5</v>
      </c>
    </row>
    <row r="186" spans="1:34" x14ac:dyDescent="0.35">
      <c r="A186" t="s">
        <v>30</v>
      </c>
      <c r="B186">
        <v>2018</v>
      </c>
      <c r="C186" t="s">
        <v>32</v>
      </c>
      <c r="D186">
        <v>134.80000000000001</v>
      </c>
      <c r="E186">
        <v>143</v>
      </c>
      <c r="F186">
        <v>139.9</v>
      </c>
      <c r="G186">
        <v>139.9</v>
      </c>
      <c r="H186">
        <v>116.2</v>
      </c>
      <c r="I186">
        <v>135.5</v>
      </c>
      <c r="J186">
        <v>136.9</v>
      </c>
      <c r="K186">
        <v>117</v>
      </c>
      <c r="L186">
        <v>115.4</v>
      </c>
      <c r="M186">
        <v>140.69999999999999</v>
      </c>
      <c r="N186">
        <v>125.9</v>
      </c>
      <c r="O186">
        <v>147.1</v>
      </c>
      <c r="P186">
        <v>135.6</v>
      </c>
      <c r="Q186">
        <f t="shared" si="6"/>
        <v>1727.9</v>
      </c>
      <c r="R186">
        <v>159.30000000000001</v>
      </c>
      <c r="S186">
        <v>136.30000000000001</v>
      </c>
      <c r="T186">
        <v>126.1</v>
      </c>
      <c r="U186">
        <v>134.69999999999999</v>
      </c>
      <c r="V186">
        <v>397.09999999999997</v>
      </c>
      <c r="W186">
        <v>141.30000000000001</v>
      </c>
      <c r="X186">
        <v>127.3</v>
      </c>
      <c r="Y186">
        <v>129.9</v>
      </c>
      <c r="Z186">
        <f t="shared" si="7"/>
        <v>271.20000000000005</v>
      </c>
      <c r="AA186">
        <v>129.80000000000001</v>
      </c>
      <c r="AB186">
        <v>117.4</v>
      </c>
      <c r="AC186">
        <v>126.5</v>
      </c>
      <c r="AD186">
        <v>137.19999999999999</v>
      </c>
      <c r="AE186">
        <v>126.2</v>
      </c>
      <c r="AF186">
        <f t="shared" si="8"/>
        <v>256</v>
      </c>
      <c r="AG186">
        <v>126.5</v>
      </c>
      <c r="AH186">
        <v>134</v>
      </c>
    </row>
    <row r="187" spans="1:34" x14ac:dyDescent="0.35">
      <c r="A187" t="s">
        <v>31</v>
      </c>
      <c r="B187">
        <v>2018</v>
      </c>
      <c r="C187" t="s">
        <v>32</v>
      </c>
      <c r="D187">
        <v>135.9</v>
      </c>
      <c r="E187">
        <v>143.5</v>
      </c>
      <c r="F187">
        <v>140.30000000000001</v>
      </c>
      <c r="G187">
        <v>140.9</v>
      </c>
      <c r="H187">
        <v>120.4</v>
      </c>
      <c r="I187">
        <v>142.9</v>
      </c>
      <c r="J187">
        <v>140.5</v>
      </c>
      <c r="K187">
        <v>125.8</v>
      </c>
      <c r="L187">
        <v>117.1</v>
      </c>
      <c r="M187">
        <v>137.30000000000001</v>
      </c>
      <c r="N187">
        <v>128.6</v>
      </c>
      <c r="O187">
        <v>149.6</v>
      </c>
      <c r="P187">
        <v>137.6</v>
      </c>
      <c r="Q187">
        <f t="shared" si="6"/>
        <v>1760.3999999999996</v>
      </c>
      <c r="R187">
        <v>154.9</v>
      </c>
      <c r="S187">
        <v>143.80000000000001</v>
      </c>
      <c r="T187">
        <v>135.6</v>
      </c>
      <c r="U187">
        <v>142.6</v>
      </c>
      <c r="V187">
        <v>422</v>
      </c>
      <c r="W187">
        <v>141.30000000000001</v>
      </c>
      <c r="X187">
        <v>136.69999999999999</v>
      </c>
      <c r="Y187">
        <v>135.19999999999999</v>
      </c>
      <c r="Z187">
        <f t="shared" si="7"/>
        <v>276.5</v>
      </c>
      <c r="AA187">
        <v>133.80000000000001</v>
      </c>
      <c r="AB187">
        <v>120.2</v>
      </c>
      <c r="AC187">
        <v>129.9</v>
      </c>
      <c r="AD187">
        <v>139</v>
      </c>
      <c r="AE187">
        <v>127.7</v>
      </c>
      <c r="AF187">
        <f t="shared" si="8"/>
        <v>261.5</v>
      </c>
      <c r="AG187">
        <v>129.6</v>
      </c>
      <c r="AH187">
        <v>136.4</v>
      </c>
    </row>
    <row r="188" spans="1:34" x14ac:dyDescent="0.35">
      <c r="A188" t="s">
        <v>28</v>
      </c>
      <c r="B188">
        <v>2018</v>
      </c>
      <c r="C188" t="s">
        <v>33</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f t="shared" si="6"/>
        <v>1781.9999999999998</v>
      </c>
      <c r="R188">
        <v>155.1</v>
      </c>
      <c r="S188">
        <v>149.19999999999999</v>
      </c>
      <c r="T188">
        <v>143</v>
      </c>
      <c r="U188">
        <v>148.30000000000001</v>
      </c>
      <c r="V188">
        <v>440.5</v>
      </c>
      <c r="W188">
        <v>142</v>
      </c>
      <c r="X188">
        <v>142.6</v>
      </c>
      <c r="Y188">
        <v>139.9</v>
      </c>
      <c r="Z188">
        <f t="shared" si="7"/>
        <v>281.89999999999998</v>
      </c>
      <c r="AA188">
        <v>136.69999999999999</v>
      </c>
      <c r="AB188">
        <v>124.6</v>
      </c>
      <c r="AC188">
        <v>135.1</v>
      </c>
      <c r="AD188">
        <v>142.69999999999999</v>
      </c>
      <c r="AE188">
        <v>129.30000000000001</v>
      </c>
      <c r="AF188">
        <f t="shared" si="8"/>
        <v>266</v>
      </c>
      <c r="AG188">
        <v>133.30000000000001</v>
      </c>
      <c r="AH188">
        <v>138.69999999999999</v>
      </c>
    </row>
    <row r="189" spans="1:34" x14ac:dyDescent="0.35">
      <c r="A189" t="s">
        <v>30</v>
      </c>
      <c r="B189">
        <v>2018</v>
      </c>
      <c r="C189" t="s">
        <v>33</v>
      </c>
      <c r="D189">
        <v>135</v>
      </c>
      <c r="E189">
        <v>143.1</v>
      </c>
      <c r="F189">
        <v>135.5</v>
      </c>
      <c r="G189">
        <v>139.9</v>
      </c>
      <c r="H189">
        <v>116.5</v>
      </c>
      <c r="I189">
        <v>138.5</v>
      </c>
      <c r="J189">
        <v>128</v>
      </c>
      <c r="K189">
        <v>115.5</v>
      </c>
      <c r="L189">
        <v>114.2</v>
      </c>
      <c r="M189">
        <v>140.69999999999999</v>
      </c>
      <c r="N189">
        <v>126.2</v>
      </c>
      <c r="O189">
        <v>147.6</v>
      </c>
      <c r="P189">
        <v>134.80000000000001</v>
      </c>
      <c r="Q189">
        <f t="shared" si="6"/>
        <v>1715.5</v>
      </c>
      <c r="R189">
        <v>159.69999999999999</v>
      </c>
      <c r="S189">
        <v>136.69999999999999</v>
      </c>
      <c r="T189">
        <v>126.7</v>
      </c>
      <c r="U189">
        <v>135.19999999999999</v>
      </c>
      <c r="V189">
        <v>398.59999999999997</v>
      </c>
      <c r="W189">
        <v>142</v>
      </c>
      <c r="X189">
        <v>126.4</v>
      </c>
      <c r="Y189">
        <v>130.80000000000001</v>
      </c>
      <c r="Z189">
        <f t="shared" si="7"/>
        <v>272.8</v>
      </c>
      <c r="AA189">
        <v>130.5</v>
      </c>
      <c r="AB189">
        <v>117.8</v>
      </c>
      <c r="AC189">
        <v>126.8</v>
      </c>
      <c r="AD189">
        <v>137.80000000000001</v>
      </c>
      <c r="AE189">
        <v>126.7</v>
      </c>
      <c r="AF189">
        <f t="shared" si="8"/>
        <v>257.2</v>
      </c>
      <c r="AG189">
        <v>127.1</v>
      </c>
      <c r="AH189">
        <v>134</v>
      </c>
    </row>
    <row r="190" spans="1:34" x14ac:dyDescent="0.35">
      <c r="A190" t="s">
        <v>31</v>
      </c>
      <c r="B190">
        <v>2018</v>
      </c>
      <c r="C190" t="s">
        <v>33</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f t="shared" si="6"/>
        <v>1756</v>
      </c>
      <c r="R190">
        <v>156.30000000000001</v>
      </c>
      <c r="S190">
        <v>144.30000000000001</v>
      </c>
      <c r="T190">
        <v>136.19999999999999</v>
      </c>
      <c r="U190">
        <v>143.1</v>
      </c>
      <c r="V190">
        <v>423.6</v>
      </c>
      <c r="W190">
        <v>142</v>
      </c>
      <c r="X190">
        <v>136.5</v>
      </c>
      <c r="Y190">
        <v>135.6</v>
      </c>
      <c r="Z190">
        <f t="shared" si="7"/>
        <v>277.60000000000002</v>
      </c>
      <c r="AA190">
        <v>134.30000000000001</v>
      </c>
      <c r="AB190">
        <v>121</v>
      </c>
      <c r="AC190">
        <v>130.4</v>
      </c>
      <c r="AD190">
        <v>139.80000000000001</v>
      </c>
      <c r="AE190">
        <v>128.19999999999999</v>
      </c>
      <c r="AF190">
        <f t="shared" si="8"/>
        <v>262.5</v>
      </c>
      <c r="AG190">
        <v>130.30000000000001</v>
      </c>
      <c r="AH190">
        <v>136.5</v>
      </c>
    </row>
    <row r="191" spans="1:34" x14ac:dyDescent="0.35">
      <c r="A191" t="s">
        <v>28</v>
      </c>
      <c r="B191">
        <v>2018</v>
      </c>
      <c r="C191" t="s">
        <v>34</v>
      </c>
      <c r="D191">
        <v>137.1</v>
      </c>
      <c r="E191">
        <v>144.5</v>
      </c>
      <c r="F191">
        <v>135.9</v>
      </c>
      <c r="G191">
        <v>142.4</v>
      </c>
      <c r="H191">
        <v>123.5</v>
      </c>
      <c r="I191">
        <v>156.4</v>
      </c>
      <c r="J191">
        <v>135.1</v>
      </c>
      <c r="K191">
        <v>128.4</v>
      </c>
      <c r="L191">
        <v>115.2</v>
      </c>
      <c r="M191">
        <v>137.19999999999999</v>
      </c>
      <c r="N191">
        <v>131.9</v>
      </c>
      <c r="O191">
        <v>153.80000000000001</v>
      </c>
      <c r="P191">
        <v>138.6</v>
      </c>
      <c r="Q191">
        <f t="shared" si="6"/>
        <v>1780</v>
      </c>
      <c r="R191">
        <v>156.1</v>
      </c>
      <c r="S191">
        <v>150.1</v>
      </c>
      <c r="T191">
        <v>143.30000000000001</v>
      </c>
      <c r="U191">
        <v>149.1</v>
      </c>
      <c r="V191">
        <v>442.5</v>
      </c>
      <c r="W191">
        <v>142.9</v>
      </c>
      <c r="X191">
        <v>143.80000000000001</v>
      </c>
      <c r="Y191">
        <v>140.9</v>
      </c>
      <c r="Z191">
        <f t="shared" si="7"/>
        <v>283.8</v>
      </c>
      <c r="AA191">
        <v>137.6</v>
      </c>
      <c r="AB191">
        <v>125.3</v>
      </c>
      <c r="AC191">
        <v>136</v>
      </c>
      <c r="AD191">
        <v>143.69999999999999</v>
      </c>
      <c r="AE191">
        <v>130.4</v>
      </c>
      <c r="AF191">
        <f t="shared" si="8"/>
        <v>268</v>
      </c>
      <c r="AG191">
        <v>134.19999999999999</v>
      </c>
      <c r="AH191">
        <v>139.1</v>
      </c>
    </row>
    <row r="192" spans="1:34" x14ac:dyDescent="0.35">
      <c r="A192" t="s">
        <v>30</v>
      </c>
      <c r="B192">
        <v>2018</v>
      </c>
      <c r="C192" t="s">
        <v>34</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f t="shared" si="6"/>
        <v>1720.0000000000002</v>
      </c>
      <c r="R192">
        <v>159.19999999999999</v>
      </c>
      <c r="S192">
        <v>137.80000000000001</v>
      </c>
      <c r="T192">
        <v>127.4</v>
      </c>
      <c r="U192">
        <v>136.19999999999999</v>
      </c>
      <c r="V192">
        <v>401.40000000000003</v>
      </c>
      <c r="W192">
        <v>142.9</v>
      </c>
      <c r="X192">
        <v>124.6</v>
      </c>
      <c r="Y192">
        <v>131.80000000000001</v>
      </c>
      <c r="Z192">
        <f t="shared" si="7"/>
        <v>274.70000000000005</v>
      </c>
      <c r="AA192">
        <v>131.30000000000001</v>
      </c>
      <c r="AB192">
        <v>118.9</v>
      </c>
      <c r="AC192">
        <v>127.6</v>
      </c>
      <c r="AD192">
        <v>139.69999999999999</v>
      </c>
      <c r="AE192">
        <v>127.6</v>
      </c>
      <c r="AF192">
        <f t="shared" si="8"/>
        <v>258.89999999999998</v>
      </c>
      <c r="AG192">
        <v>128.19999999999999</v>
      </c>
      <c r="AH192">
        <v>134.80000000000001</v>
      </c>
    </row>
    <row r="193" spans="1:34" x14ac:dyDescent="0.35">
      <c r="A193" t="s">
        <v>31</v>
      </c>
      <c r="B193">
        <v>2018</v>
      </c>
      <c r="C193" t="s">
        <v>34</v>
      </c>
      <c r="D193">
        <v>136.4</v>
      </c>
      <c r="E193">
        <v>144.4</v>
      </c>
      <c r="F193">
        <v>133.9</v>
      </c>
      <c r="G193">
        <v>141.6</v>
      </c>
      <c r="H193">
        <v>121</v>
      </c>
      <c r="I193">
        <v>153.5</v>
      </c>
      <c r="J193">
        <v>132.6</v>
      </c>
      <c r="K193">
        <v>123.5</v>
      </c>
      <c r="L193">
        <v>113.7</v>
      </c>
      <c r="M193">
        <v>138.19999999999999</v>
      </c>
      <c r="N193">
        <v>129.6</v>
      </c>
      <c r="O193">
        <v>151.19999999999999</v>
      </c>
      <c r="P193">
        <v>137.5</v>
      </c>
      <c r="Q193">
        <f t="shared" si="6"/>
        <v>1757.1000000000001</v>
      </c>
      <c r="R193">
        <v>156.9</v>
      </c>
      <c r="S193">
        <v>145.30000000000001</v>
      </c>
      <c r="T193">
        <v>136.69999999999999</v>
      </c>
      <c r="U193">
        <v>144</v>
      </c>
      <c r="V193">
        <v>426</v>
      </c>
      <c r="W193">
        <v>142.9</v>
      </c>
      <c r="X193">
        <v>136.5</v>
      </c>
      <c r="Y193">
        <v>136.6</v>
      </c>
      <c r="Z193">
        <f t="shared" si="7"/>
        <v>279.5</v>
      </c>
      <c r="AA193">
        <v>135.19999999999999</v>
      </c>
      <c r="AB193">
        <v>121.9</v>
      </c>
      <c r="AC193">
        <v>131.30000000000001</v>
      </c>
      <c r="AD193">
        <v>141.4</v>
      </c>
      <c r="AE193">
        <v>129.19999999999999</v>
      </c>
      <c r="AF193">
        <f t="shared" si="8"/>
        <v>264.39999999999998</v>
      </c>
      <c r="AG193">
        <v>131.30000000000001</v>
      </c>
      <c r="AH193">
        <v>137.1</v>
      </c>
    </row>
    <row r="194" spans="1:34" x14ac:dyDescent="0.35">
      <c r="A194" t="s">
        <v>28</v>
      </c>
      <c r="B194">
        <v>2018</v>
      </c>
      <c r="C194" t="s">
        <v>35</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f t="shared" si="6"/>
        <v>1782.4</v>
      </c>
      <c r="R194">
        <v>157</v>
      </c>
      <c r="S194">
        <v>150.80000000000001</v>
      </c>
      <c r="T194">
        <v>144.1</v>
      </c>
      <c r="U194">
        <v>149.80000000000001</v>
      </c>
      <c r="V194">
        <v>444.7</v>
      </c>
      <c r="W194">
        <v>143.19999999999999</v>
      </c>
      <c r="X194">
        <v>144.30000000000001</v>
      </c>
      <c r="Y194">
        <v>141.80000000000001</v>
      </c>
      <c r="Z194">
        <f t="shared" si="7"/>
        <v>285</v>
      </c>
      <c r="AA194">
        <v>138.4</v>
      </c>
      <c r="AB194">
        <v>126.4</v>
      </c>
      <c r="AC194">
        <v>136.80000000000001</v>
      </c>
      <c r="AD194">
        <v>144.4</v>
      </c>
      <c r="AE194">
        <v>131.19999999999999</v>
      </c>
      <c r="AF194">
        <f t="shared" si="8"/>
        <v>269.60000000000002</v>
      </c>
      <c r="AG194">
        <v>135.1</v>
      </c>
      <c r="AH194">
        <v>139.80000000000001</v>
      </c>
    </row>
    <row r="195" spans="1:34" x14ac:dyDescent="0.35">
      <c r="A195" t="s">
        <v>30</v>
      </c>
      <c r="B195">
        <v>2018</v>
      </c>
      <c r="C195" t="s">
        <v>35</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f t="shared" ref="Q195:Q258" si="9">SUM(D195:P195)</f>
        <v>1722.8999999999999</v>
      </c>
      <c r="R195">
        <v>160.30000000000001</v>
      </c>
      <c r="S195">
        <v>138.6</v>
      </c>
      <c r="T195">
        <v>127.9</v>
      </c>
      <c r="U195">
        <v>137</v>
      </c>
      <c r="V195">
        <v>403.5</v>
      </c>
      <c r="W195">
        <v>143.19999999999999</v>
      </c>
      <c r="X195">
        <v>124.7</v>
      </c>
      <c r="Y195">
        <v>132.5</v>
      </c>
      <c r="Z195">
        <f t="shared" ref="Z195:Z258" si="10">W195+Y195</f>
        <v>275.7</v>
      </c>
      <c r="AA195">
        <v>132</v>
      </c>
      <c r="AB195">
        <v>119.8</v>
      </c>
      <c r="AC195">
        <v>128</v>
      </c>
      <c r="AD195">
        <v>140.4</v>
      </c>
      <c r="AE195">
        <v>128.1</v>
      </c>
      <c r="AF195">
        <f t="shared" ref="AF195:AF258" si="11">AA195+AE195</f>
        <v>260.10000000000002</v>
      </c>
      <c r="AG195">
        <v>128.9</v>
      </c>
      <c r="AH195">
        <v>135.4</v>
      </c>
    </row>
    <row r="196" spans="1:34" x14ac:dyDescent="0.35">
      <c r="A196" t="s">
        <v>31</v>
      </c>
      <c r="B196">
        <v>2018</v>
      </c>
      <c r="C196" t="s">
        <v>35</v>
      </c>
      <c r="D196">
        <v>136.6</v>
      </c>
      <c r="E196">
        <v>146.6</v>
      </c>
      <c r="F196">
        <v>133.6</v>
      </c>
      <c r="G196">
        <v>142.1</v>
      </c>
      <c r="H196">
        <v>121</v>
      </c>
      <c r="I196">
        <v>154.6</v>
      </c>
      <c r="J196">
        <v>135.6</v>
      </c>
      <c r="K196">
        <v>122.3</v>
      </c>
      <c r="L196">
        <v>109.6</v>
      </c>
      <c r="M196">
        <v>138.1</v>
      </c>
      <c r="N196">
        <v>129.9</v>
      </c>
      <c r="O196">
        <v>151.69999999999999</v>
      </c>
      <c r="P196">
        <v>138.1</v>
      </c>
      <c r="Q196">
        <f t="shared" si="9"/>
        <v>1759.8</v>
      </c>
      <c r="R196">
        <v>157.9</v>
      </c>
      <c r="S196">
        <v>146</v>
      </c>
      <c r="T196">
        <v>137.4</v>
      </c>
      <c r="U196">
        <v>144.69999999999999</v>
      </c>
      <c r="V196">
        <v>428.09999999999997</v>
      </c>
      <c r="W196">
        <v>143.19999999999999</v>
      </c>
      <c r="X196">
        <v>136.9</v>
      </c>
      <c r="Y196">
        <v>137.4</v>
      </c>
      <c r="Z196">
        <f t="shared" si="10"/>
        <v>280.60000000000002</v>
      </c>
      <c r="AA196">
        <v>136</v>
      </c>
      <c r="AB196">
        <v>122.9</v>
      </c>
      <c r="AC196">
        <v>131.80000000000001</v>
      </c>
      <c r="AD196">
        <v>142.1</v>
      </c>
      <c r="AE196">
        <v>129.9</v>
      </c>
      <c r="AF196">
        <f t="shared" si="11"/>
        <v>265.89999999999998</v>
      </c>
      <c r="AG196">
        <v>132.1</v>
      </c>
      <c r="AH196">
        <v>137.80000000000001</v>
      </c>
    </row>
    <row r="197" spans="1:34" x14ac:dyDescent="0.35">
      <c r="A197" t="s">
        <v>28</v>
      </c>
      <c r="B197">
        <v>2018</v>
      </c>
      <c r="C197" t="s">
        <v>36</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f t="shared" si="9"/>
        <v>1790.2999999999997</v>
      </c>
      <c r="R197">
        <v>157.30000000000001</v>
      </c>
      <c r="S197">
        <v>151.30000000000001</v>
      </c>
      <c r="T197">
        <v>144.69999999999999</v>
      </c>
      <c r="U197">
        <v>150.30000000000001</v>
      </c>
      <c r="V197">
        <v>446.3</v>
      </c>
      <c r="W197">
        <v>142.5</v>
      </c>
      <c r="X197">
        <v>145.1</v>
      </c>
      <c r="Y197">
        <v>142.19999999999999</v>
      </c>
      <c r="Z197">
        <f t="shared" si="10"/>
        <v>284.7</v>
      </c>
      <c r="AA197">
        <v>138.4</v>
      </c>
      <c r="AB197">
        <v>127.4</v>
      </c>
      <c r="AC197">
        <v>137.80000000000001</v>
      </c>
      <c r="AD197">
        <v>145.1</v>
      </c>
      <c r="AE197">
        <v>131.4</v>
      </c>
      <c r="AF197">
        <f t="shared" si="11"/>
        <v>269.8</v>
      </c>
      <c r="AG197">
        <v>135.6</v>
      </c>
      <c r="AH197">
        <v>140.5</v>
      </c>
    </row>
    <row r="198" spans="1:34" x14ac:dyDescent="0.35">
      <c r="A198" t="s">
        <v>30</v>
      </c>
      <c r="B198">
        <v>2018</v>
      </c>
      <c r="C198" t="s">
        <v>36</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f t="shared" si="9"/>
        <v>1747.3000000000002</v>
      </c>
      <c r="R198">
        <v>161</v>
      </c>
      <c r="S198">
        <v>138.9</v>
      </c>
      <c r="T198">
        <v>128.69999999999999</v>
      </c>
      <c r="U198">
        <v>137.4</v>
      </c>
      <c r="V198">
        <v>405</v>
      </c>
      <c r="W198">
        <v>142.5</v>
      </c>
      <c r="X198">
        <v>126.5</v>
      </c>
      <c r="Y198">
        <v>133.1</v>
      </c>
      <c r="Z198">
        <f t="shared" si="10"/>
        <v>275.60000000000002</v>
      </c>
      <c r="AA198">
        <v>132.6</v>
      </c>
      <c r="AB198">
        <v>120.4</v>
      </c>
      <c r="AC198">
        <v>128.5</v>
      </c>
      <c r="AD198">
        <v>141.19999999999999</v>
      </c>
      <c r="AE198">
        <v>128.19999999999999</v>
      </c>
      <c r="AF198">
        <f t="shared" si="11"/>
        <v>260.79999999999995</v>
      </c>
      <c r="AG198">
        <v>129.5</v>
      </c>
      <c r="AH198">
        <v>136.19999999999999</v>
      </c>
    </row>
    <row r="199" spans="1:34" x14ac:dyDescent="0.35">
      <c r="A199" t="s">
        <v>31</v>
      </c>
      <c r="B199">
        <v>2018</v>
      </c>
      <c r="C199" t="s">
        <v>36</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f t="shared" si="9"/>
        <v>1774.1000000000001</v>
      </c>
      <c r="R199">
        <v>158.30000000000001</v>
      </c>
      <c r="S199">
        <v>146.4</v>
      </c>
      <c r="T199">
        <v>138.1</v>
      </c>
      <c r="U199">
        <v>145.19999999999999</v>
      </c>
      <c r="V199">
        <v>429.7</v>
      </c>
      <c r="W199">
        <v>142.5</v>
      </c>
      <c r="X199">
        <v>138.1</v>
      </c>
      <c r="Y199">
        <v>137.9</v>
      </c>
      <c r="Z199">
        <f t="shared" si="10"/>
        <v>280.39999999999998</v>
      </c>
      <c r="AA199">
        <v>136.19999999999999</v>
      </c>
      <c r="AB199">
        <v>123.7</v>
      </c>
      <c r="AC199">
        <v>132.6</v>
      </c>
      <c r="AD199">
        <v>142.80000000000001</v>
      </c>
      <c r="AE199">
        <v>130.1</v>
      </c>
      <c r="AF199">
        <f t="shared" si="11"/>
        <v>266.29999999999995</v>
      </c>
      <c r="AG199">
        <v>132.6</v>
      </c>
      <c r="AH199">
        <v>138.5</v>
      </c>
    </row>
    <row r="200" spans="1:34" x14ac:dyDescent="0.35">
      <c r="A200" t="s">
        <v>28</v>
      </c>
      <c r="B200">
        <v>2018</v>
      </c>
      <c r="C200" t="s">
        <v>37</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f t="shared" si="9"/>
        <v>1810.5000000000002</v>
      </c>
      <c r="R200">
        <v>156.1</v>
      </c>
      <c r="S200">
        <v>151.5</v>
      </c>
      <c r="T200">
        <v>145.1</v>
      </c>
      <c r="U200">
        <v>150.6</v>
      </c>
      <c r="V200">
        <v>447.20000000000005</v>
      </c>
      <c r="W200">
        <v>143.6</v>
      </c>
      <c r="X200">
        <v>146.80000000000001</v>
      </c>
      <c r="Y200">
        <v>143.1</v>
      </c>
      <c r="Z200">
        <f t="shared" si="10"/>
        <v>286.7</v>
      </c>
      <c r="AA200">
        <v>139</v>
      </c>
      <c r="AB200">
        <v>127.5</v>
      </c>
      <c r="AC200">
        <v>138.4</v>
      </c>
      <c r="AD200">
        <v>145.80000000000001</v>
      </c>
      <c r="AE200">
        <v>131.4</v>
      </c>
      <c r="AF200">
        <f t="shared" si="11"/>
        <v>270.39999999999998</v>
      </c>
      <c r="AG200">
        <v>136</v>
      </c>
      <c r="AH200">
        <v>141.80000000000001</v>
      </c>
    </row>
    <row r="201" spans="1:34" x14ac:dyDescent="0.35">
      <c r="A201" t="s">
        <v>30</v>
      </c>
      <c r="B201">
        <v>2018</v>
      </c>
      <c r="C201" t="s">
        <v>37</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f t="shared" si="9"/>
        <v>1771.1</v>
      </c>
      <c r="R201">
        <v>161.4</v>
      </c>
      <c r="S201">
        <v>139.6</v>
      </c>
      <c r="T201">
        <v>128.9</v>
      </c>
      <c r="U201">
        <v>137.9</v>
      </c>
      <c r="V201">
        <v>406.4</v>
      </c>
      <c r="W201">
        <v>143.6</v>
      </c>
      <c r="X201">
        <v>128.1</v>
      </c>
      <c r="Y201">
        <v>133.6</v>
      </c>
      <c r="Z201">
        <f t="shared" si="10"/>
        <v>277.2</v>
      </c>
      <c r="AA201">
        <v>133.6</v>
      </c>
      <c r="AB201">
        <v>120.1</v>
      </c>
      <c r="AC201">
        <v>129</v>
      </c>
      <c r="AD201">
        <v>144</v>
      </c>
      <c r="AE201">
        <v>128.19999999999999</v>
      </c>
      <c r="AF201">
        <f t="shared" si="11"/>
        <v>261.79999999999995</v>
      </c>
      <c r="AG201">
        <v>130.19999999999999</v>
      </c>
      <c r="AH201">
        <v>137.5</v>
      </c>
    </row>
    <row r="202" spans="1:34" x14ac:dyDescent="0.35">
      <c r="A202" t="s">
        <v>31</v>
      </c>
      <c r="B202">
        <v>2018</v>
      </c>
      <c r="C202" t="s">
        <v>37</v>
      </c>
      <c r="D202">
        <v>137.5</v>
      </c>
      <c r="E202">
        <v>149.1</v>
      </c>
      <c r="F202">
        <v>139.19999999999999</v>
      </c>
      <c r="G202">
        <v>142.5</v>
      </c>
      <c r="H202">
        <v>121.4</v>
      </c>
      <c r="I202">
        <v>151.6</v>
      </c>
      <c r="J202">
        <v>155.9</v>
      </c>
      <c r="K202">
        <v>121.7</v>
      </c>
      <c r="L202">
        <v>113.5</v>
      </c>
      <c r="M202">
        <v>138.9</v>
      </c>
      <c r="N202">
        <v>130.30000000000001</v>
      </c>
      <c r="O202">
        <v>152.30000000000001</v>
      </c>
      <c r="P202">
        <v>141.4</v>
      </c>
      <c r="Q202">
        <f t="shared" si="9"/>
        <v>1795.3</v>
      </c>
      <c r="R202">
        <v>157.5</v>
      </c>
      <c r="S202">
        <v>146.80000000000001</v>
      </c>
      <c r="T202">
        <v>138.4</v>
      </c>
      <c r="U202">
        <v>145.6</v>
      </c>
      <c r="V202">
        <v>430.80000000000007</v>
      </c>
      <c r="W202">
        <v>143.6</v>
      </c>
      <c r="X202">
        <v>139.69999999999999</v>
      </c>
      <c r="Y202">
        <v>138.6</v>
      </c>
      <c r="Z202">
        <f t="shared" si="10"/>
        <v>282.2</v>
      </c>
      <c r="AA202">
        <v>137</v>
      </c>
      <c r="AB202">
        <v>123.6</v>
      </c>
      <c r="AC202">
        <v>133.1</v>
      </c>
      <c r="AD202">
        <v>144.69999999999999</v>
      </c>
      <c r="AE202">
        <v>130.1</v>
      </c>
      <c r="AF202">
        <f t="shared" si="11"/>
        <v>267.10000000000002</v>
      </c>
      <c r="AG202">
        <v>133.19999999999999</v>
      </c>
      <c r="AH202">
        <v>139.80000000000001</v>
      </c>
    </row>
    <row r="203" spans="1:34" x14ac:dyDescent="0.35">
      <c r="A203" t="s">
        <v>28</v>
      </c>
      <c r="B203">
        <v>2018</v>
      </c>
      <c r="C203" t="s">
        <v>38</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f t="shared" si="9"/>
        <v>1818.8</v>
      </c>
      <c r="R203">
        <v>156.4</v>
      </c>
      <c r="S203">
        <v>152.1</v>
      </c>
      <c r="T203">
        <v>145.80000000000001</v>
      </c>
      <c r="U203">
        <v>151.30000000000001</v>
      </c>
      <c r="V203">
        <v>449.2</v>
      </c>
      <c r="W203">
        <v>144.6</v>
      </c>
      <c r="X203">
        <v>147.69999999999999</v>
      </c>
      <c r="Y203">
        <v>143.80000000000001</v>
      </c>
      <c r="Z203">
        <f t="shared" si="10"/>
        <v>288.39999999999998</v>
      </c>
      <c r="AA203">
        <v>139.4</v>
      </c>
      <c r="AB203">
        <v>128.30000000000001</v>
      </c>
      <c r="AC203">
        <v>138.6</v>
      </c>
      <c r="AD203">
        <v>146.9</v>
      </c>
      <c r="AE203">
        <v>131.30000000000001</v>
      </c>
      <c r="AF203">
        <f t="shared" si="11"/>
        <v>270.70000000000005</v>
      </c>
      <c r="AG203">
        <v>136.6</v>
      </c>
      <c r="AH203">
        <v>142.5</v>
      </c>
    </row>
    <row r="204" spans="1:34" x14ac:dyDescent="0.35">
      <c r="A204" t="s">
        <v>30</v>
      </c>
      <c r="B204">
        <v>2018</v>
      </c>
      <c r="C204" t="s">
        <v>38</v>
      </c>
      <c r="D204">
        <v>136.5</v>
      </c>
      <c r="E204">
        <v>146.4</v>
      </c>
      <c r="F204">
        <v>136.6</v>
      </c>
      <c r="G204">
        <v>141.19999999999999</v>
      </c>
      <c r="H204">
        <v>117.4</v>
      </c>
      <c r="I204">
        <v>146.30000000000001</v>
      </c>
      <c r="J204">
        <v>157.30000000000001</v>
      </c>
      <c r="K204">
        <v>113.6</v>
      </c>
      <c r="L204">
        <v>113.3</v>
      </c>
      <c r="M204">
        <v>141.1</v>
      </c>
      <c r="N204">
        <v>127.4</v>
      </c>
      <c r="O204">
        <v>150.4</v>
      </c>
      <c r="P204">
        <v>140.1</v>
      </c>
      <c r="Q204">
        <f t="shared" si="9"/>
        <v>1767.6</v>
      </c>
      <c r="R204">
        <v>162.1</v>
      </c>
      <c r="S204">
        <v>140</v>
      </c>
      <c r="T204">
        <v>129</v>
      </c>
      <c r="U204">
        <v>138.30000000000001</v>
      </c>
      <c r="V204">
        <v>407.3</v>
      </c>
      <c r="W204">
        <v>144.6</v>
      </c>
      <c r="X204">
        <v>129.80000000000001</v>
      </c>
      <c r="Y204">
        <v>134.4</v>
      </c>
      <c r="Z204">
        <f t="shared" si="10"/>
        <v>279</v>
      </c>
      <c r="AA204">
        <v>134.9</v>
      </c>
      <c r="AB204">
        <v>120.7</v>
      </c>
      <c r="AC204">
        <v>129.80000000000001</v>
      </c>
      <c r="AD204">
        <v>145.30000000000001</v>
      </c>
      <c r="AE204">
        <v>128.30000000000001</v>
      </c>
      <c r="AF204">
        <f t="shared" si="11"/>
        <v>263.20000000000005</v>
      </c>
      <c r="AG204">
        <v>131</v>
      </c>
      <c r="AH204">
        <v>138</v>
      </c>
    </row>
    <row r="205" spans="1:34" x14ac:dyDescent="0.35">
      <c r="A205" t="s">
        <v>31</v>
      </c>
      <c r="B205">
        <v>2018</v>
      </c>
      <c r="C205" t="s">
        <v>38</v>
      </c>
      <c r="D205">
        <v>138.30000000000001</v>
      </c>
      <c r="E205">
        <v>148</v>
      </c>
      <c r="F205">
        <v>138.1</v>
      </c>
      <c r="G205">
        <v>142.6</v>
      </c>
      <c r="H205">
        <v>122.2</v>
      </c>
      <c r="I205">
        <v>150.6</v>
      </c>
      <c r="J205">
        <v>156.6</v>
      </c>
      <c r="K205">
        <v>122.4</v>
      </c>
      <c r="L205">
        <v>114.7</v>
      </c>
      <c r="M205">
        <v>139.4</v>
      </c>
      <c r="N205">
        <v>131.1</v>
      </c>
      <c r="O205">
        <v>153</v>
      </c>
      <c r="P205">
        <v>141.69999999999999</v>
      </c>
      <c r="Q205">
        <f t="shared" si="9"/>
        <v>1798.7000000000003</v>
      </c>
      <c r="R205">
        <v>157.9</v>
      </c>
      <c r="S205">
        <v>147.30000000000001</v>
      </c>
      <c r="T205">
        <v>138.80000000000001</v>
      </c>
      <c r="U205">
        <v>146.1</v>
      </c>
      <c r="V205">
        <v>432.20000000000005</v>
      </c>
      <c r="W205">
        <v>144.6</v>
      </c>
      <c r="X205">
        <v>140.9</v>
      </c>
      <c r="Y205">
        <v>139.4</v>
      </c>
      <c r="Z205">
        <f t="shared" si="10"/>
        <v>284</v>
      </c>
      <c r="AA205">
        <v>137.69999999999999</v>
      </c>
      <c r="AB205">
        <v>124.3</v>
      </c>
      <c r="AC205">
        <v>133.6</v>
      </c>
      <c r="AD205">
        <v>146</v>
      </c>
      <c r="AE205">
        <v>130.1</v>
      </c>
      <c r="AF205">
        <f t="shared" si="11"/>
        <v>267.79999999999995</v>
      </c>
      <c r="AG205">
        <v>133.9</v>
      </c>
      <c r="AH205">
        <v>140.4</v>
      </c>
    </row>
    <row r="206" spans="1:34" x14ac:dyDescent="0.35">
      <c r="A206" t="s">
        <v>28</v>
      </c>
      <c r="B206">
        <v>2018</v>
      </c>
      <c r="C206" t="s">
        <v>39</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f t="shared" si="9"/>
        <v>1799.8000000000002</v>
      </c>
      <c r="R206">
        <v>157.69999999999999</v>
      </c>
      <c r="S206">
        <v>152.1</v>
      </c>
      <c r="T206">
        <v>146.1</v>
      </c>
      <c r="U206">
        <v>151.30000000000001</v>
      </c>
      <c r="V206">
        <v>449.5</v>
      </c>
      <c r="W206">
        <v>145.30000000000001</v>
      </c>
      <c r="X206">
        <v>149</v>
      </c>
      <c r="Y206">
        <v>144</v>
      </c>
      <c r="Z206">
        <f t="shared" si="10"/>
        <v>289.3</v>
      </c>
      <c r="AA206">
        <v>140</v>
      </c>
      <c r="AB206">
        <v>129.9</v>
      </c>
      <c r="AC206">
        <v>140</v>
      </c>
      <c r="AD206">
        <v>147.6</v>
      </c>
      <c r="AE206">
        <v>132</v>
      </c>
      <c r="AF206">
        <f t="shared" si="11"/>
        <v>272</v>
      </c>
      <c r="AG206">
        <v>137.4</v>
      </c>
      <c r="AH206">
        <v>142.1</v>
      </c>
    </row>
    <row r="207" spans="1:34" x14ac:dyDescent="0.35">
      <c r="A207" t="s">
        <v>30</v>
      </c>
      <c r="B207">
        <v>2018</v>
      </c>
      <c r="C207" t="s">
        <v>39</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f t="shared" si="9"/>
        <v>1748.4</v>
      </c>
      <c r="R207">
        <v>163.30000000000001</v>
      </c>
      <c r="S207">
        <v>140.80000000000001</v>
      </c>
      <c r="T207">
        <v>129.30000000000001</v>
      </c>
      <c r="U207">
        <v>139.1</v>
      </c>
      <c r="V207">
        <v>409.20000000000005</v>
      </c>
      <c r="W207">
        <v>145.30000000000001</v>
      </c>
      <c r="X207">
        <v>131.19999999999999</v>
      </c>
      <c r="Y207">
        <v>134.9</v>
      </c>
      <c r="Z207">
        <f t="shared" si="10"/>
        <v>280.20000000000005</v>
      </c>
      <c r="AA207">
        <v>135.69999999999999</v>
      </c>
      <c r="AB207">
        <v>122.5</v>
      </c>
      <c r="AC207">
        <v>130.19999999999999</v>
      </c>
      <c r="AD207">
        <v>145.19999999999999</v>
      </c>
      <c r="AE207">
        <v>129.30000000000001</v>
      </c>
      <c r="AF207">
        <f t="shared" si="11"/>
        <v>265</v>
      </c>
      <c r="AG207">
        <v>131.9</v>
      </c>
      <c r="AH207">
        <v>138.1</v>
      </c>
    </row>
    <row r="208" spans="1:34" x14ac:dyDescent="0.35">
      <c r="A208" t="s">
        <v>31</v>
      </c>
      <c r="B208">
        <v>2018</v>
      </c>
      <c r="C208" t="s">
        <v>39</v>
      </c>
      <c r="D208">
        <v>138.6</v>
      </c>
      <c r="E208">
        <v>145.80000000000001</v>
      </c>
      <c r="F208">
        <v>135.1</v>
      </c>
      <c r="G208">
        <v>142.9</v>
      </c>
      <c r="H208">
        <v>122.1</v>
      </c>
      <c r="I208">
        <v>145.4</v>
      </c>
      <c r="J208">
        <v>150</v>
      </c>
      <c r="K208">
        <v>121.4</v>
      </c>
      <c r="L208">
        <v>113.7</v>
      </c>
      <c r="M208">
        <v>139.5</v>
      </c>
      <c r="N208">
        <v>130.80000000000001</v>
      </c>
      <c r="O208">
        <v>153.80000000000001</v>
      </c>
      <c r="P208">
        <v>140.4</v>
      </c>
      <c r="Q208">
        <f t="shared" si="9"/>
        <v>1779.5</v>
      </c>
      <c r="R208">
        <v>159.19999999999999</v>
      </c>
      <c r="S208">
        <v>147.69999999999999</v>
      </c>
      <c r="T208">
        <v>139.1</v>
      </c>
      <c r="U208">
        <v>146.5</v>
      </c>
      <c r="V208">
        <v>433.29999999999995</v>
      </c>
      <c r="W208">
        <v>145.30000000000001</v>
      </c>
      <c r="X208">
        <v>142.30000000000001</v>
      </c>
      <c r="Y208">
        <v>139.69999999999999</v>
      </c>
      <c r="Z208">
        <f t="shared" si="10"/>
        <v>285</v>
      </c>
      <c r="AA208">
        <v>138.4</v>
      </c>
      <c r="AB208">
        <v>126</v>
      </c>
      <c r="AC208">
        <v>134.5</v>
      </c>
      <c r="AD208">
        <v>146.19999999999999</v>
      </c>
      <c r="AE208">
        <v>130.9</v>
      </c>
      <c r="AF208">
        <f t="shared" si="11"/>
        <v>269.3</v>
      </c>
      <c r="AG208">
        <v>134.69999999999999</v>
      </c>
      <c r="AH208">
        <v>140.19999999999999</v>
      </c>
    </row>
    <row r="209" spans="1:34" x14ac:dyDescent="0.35">
      <c r="A209" t="s">
        <v>28</v>
      </c>
      <c r="B209">
        <v>2018</v>
      </c>
      <c r="C209" t="s">
        <v>40</v>
      </c>
      <c r="D209">
        <v>139.30000000000001</v>
      </c>
      <c r="E209">
        <v>147.6</v>
      </c>
      <c r="F209">
        <v>134.6</v>
      </c>
      <c r="G209">
        <v>141.9</v>
      </c>
      <c r="H209">
        <v>123.5</v>
      </c>
      <c r="I209">
        <v>144.5</v>
      </c>
      <c r="J209">
        <v>147.6</v>
      </c>
      <c r="K209">
        <v>121.4</v>
      </c>
      <c r="L209">
        <v>112.3</v>
      </c>
      <c r="M209">
        <v>139.5</v>
      </c>
      <c r="N209">
        <v>134.6</v>
      </c>
      <c r="O209">
        <v>155.19999999999999</v>
      </c>
      <c r="P209">
        <v>140.19999999999999</v>
      </c>
      <c r="Q209">
        <f t="shared" si="9"/>
        <v>1782.2</v>
      </c>
      <c r="R209">
        <v>159.6</v>
      </c>
      <c r="S209">
        <v>150.69999999999999</v>
      </c>
      <c r="T209">
        <v>144.5</v>
      </c>
      <c r="U209">
        <v>149.80000000000001</v>
      </c>
      <c r="V209">
        <v>445</v>
      </c>
      <c r="W209">
        <v>146.9</v>
      </c>
      <c r="X209">
        <v>149.69999999999999</v>
      </c>
      <c r="Y209">
        <v>147.5</v>
      </c>
      <c r="Z209">
        <f t="shared" si="10"/>
        <v>294.39999999999998</v>
      </c>
      <c r="AA209">
        <v>144.80000000000001</v>
      </c>
      <c r="AB209">
        <v>130.80000000000001</v>
      </c>
      <c r="AC209">
        <v>140.1</v>
      </c>
      <c r="AD209">
        <v>148</v>
      </c>
      <c r="AE209">
        <v>134.4</v>
      </c>
      <c r="AF209">
        <f t="shared" si="11"/>
        <v>279.20000000000005</v>
      </c>
      <c r="AG209">
        <v>139.80000000000001</v>
      </c>
      <c r="AH209">
        <v>142.19999999999999</v>
      </c>
    </row>
    <row r="210" spans="1:34" x14ac:dyDescent="0.35">
      <c r="A210" t="s">
        <v>30</v>
      </c>
      <c r="B210">
        <v>2018</v>
      </c>
      <c r="C210" t="s">
        <v>40</v>
      </c>
      <c r="D210">
        <v>137.6</v>
      </c>
      <c r="E210">
        <v>144.9</v>
      </c>
      <c r="F210">
        <v>133.5</v>
      </c>
      <c r="G210">
        <v>141.5</v>
      </c>
      <c r="H210">
        <v>118</v>
      </c>
      <c r="I210">
        <v>139.5</v>
      </c>
      <c r="J210">
        <v>153</v>
      </c>
      <c r="K210">
        <v>113.2</v>
      </c>
      <c r="L210">
        <v>112.8</v>
      </c>
      <c r="M210">
        <v>141.1</v>
      </c>
      <c r="N210">
        <v>127.6</v>
      </c>
      <c r="O210">
        <v>152</v>
      </c>
      <c r="P210">
        <v>139.4</v>
      </c>
      <c r="Q210">
        <f t="shared" si="9"/>
        <v>1754.1</v>
      </c>
      <c r="R210">
        <v>164</v>
      </c>
      <c r="S210">
        <v>141.5</v>
      </c>
      <c r="T210">
        <v>129.80000000000001</v>
      </c>
      <c r="U210">
        <v>139.69999999999999</v>
      </c>
      <c r="V210">
        <v>411</v>
      </c>
      <c r="W210">
        <v>146.30000000000001</v>
      </c>
      <c r="X210">
        <v>133.4</v>
      </c>
      <c r="Y210">
        <v>135.1</v>
      </c>
      <c r="Z210">
        <f t="shared" si="10"/>
        <v>281.39999999999998</v>
      </c>
      <c r="AA210">
        <v>136.19999999999999</v>
      </c>
      <c r="AB210">
        <v>123.3</v>
      </c>
      <c r="AC210">
        <v>130.69999999999999</v>
      </c>
      <c r="AD210">
        <v>145.5</v>
      </c>
      <c r="AE210">
        <v>130.4</v>
      </c>
      <c r="AF210">
        <f t="shared" si="11"/>
        <v>266.60000000000002</v>
      </c>
      <c r="AG210">
        <v>132.5</v>
      </c>
      <c r="AH210">
        <v>138.9</v>
      </c>
    </row>
    <row r="211" spans="1:34" x14ac:dyDescent="0.35">
      <c r="A211" t="s">
        <v>31</v>
      </c>
      <c r="B211">
        <v>2018</v>
      </c>
      <c r="C211" t="s">
        <v>40</v>
      </c>
      <c r="D211">
        <v>137.4</v>
      </c>
      <c r="E211">
        <v>149.5</v>
      </c>
      <c r="F211">
        <v>137.30000000000001</v>
      </c>
      <c r="G211">
        <v>141.9</v>
      </c>
      <c r="H211">
        <v>121.1</v>
      </c>
      <c r="I211">
        <v>142.5</v>
      </c>
      <c r="J211">
        <v>146.69999999999999</v>
      </c>
      <c r="K211">
        <v>119.1</v>
      </c>
      <c r="L211">
        <v>111.9</v>
      </c>
      <c r="M211">
        <v>141</v>
      </c>
      <c r="N211">
        <v>133.6</v>
      </c>
      <c r="O211">
        <v>154.5</v>
      </c>
      <c r="P211">
        <v>139.69999999999999</v>
      </c>
      <c r="Q211">
        <f t="shared" si="9"/>
        <v>1776.2</v>
      </c>
      <c r="R211">
        <v>162.6</v>
      </c>
      <c r="S211">
        <v>148</v>
      </c>
      <c r="T211">
        <v>139.19999999999999</v>
      </c>
      <c r="U211">
        <v>146.80000000000001</v>
      </c>
      <c r="V211">
        <v>434</v>
      </c>
      <c r="W211">
        <v>146.9</v>
      </c>
      <c r="X211">
        <v>145.30000000000001</v>
      </c>
      <c r="Y211">
        <v>142.19999999999999</v>
      </c>
      <c r="Z211">
        <f t="shared" si="10"/>
        <v>289.10000000000002</v>
      </c>
      <c r="AA211">
        <v>142.1</v>
      </c>
      <c r="AB211">
        <v>125.5</v>
      </c>
      <c r="AC211">
        <v>136.5</v>
      </c>
      <c r="AD211">
        <v>147.80000000000001</v>
      </c>
      <c r="AE211">
        <v>132</v>
      </c>
      <c r="AF211">
        <f t="shared" si="11"/>
        <v>274.10000000000002</v>
      </c>
      <c r="AG211">
        <v>136.30000000000001</v>
      </c>
      <c r="AH211">
        <v>140.80000000000001</v>
      </c>
    </row>
    <row r="212" spans="1:34" x14ac:dyDescent="0.35">
      <c r="A212" t="s">
        <v>28</v>
      </c>
      <c r="B212">
        <v>2018</v>
      </c>
      <c r="C212" t="s">
        <v>42</v>
      </c>
      <c r="D212">
        <v>137.1</v>
      </c>
      <c r="E212">
        <v>150.80000000000001</v>
      </c>
      <c r="F212">
        <v>136.69999999999999</v>
      </c>
      <c r="G212">
        <v>141.9</v>
      </c>
      <c r="H212">
        <v>122.8</v>
      </c>
      <c r="I212">
        <v>143.9</v>
      </c>
      <c r="J212">
        <v>147.5</v>
      </c>
      <c r="K212">
        <v>121</v>
      </c>
      <c r="L212">
        <v>111.6</v>
      </c>
      <c r="M212">
        <v>140.6</v>
      </c>
      <c r="N212">
        <v>137.5</v>
      </c>
      <c r="O212">
        <v>156.1</v>
      </c>
      <c r="P212">
        <v>140</v>
      </c>
      <c r="Q212">
        <f t="shared" si="9"/>
        <v>1787.4999999999995</v>
      </c>
      <c r="R212">
        <v>161.9</v>
      </c>
      <c r="S212">
        <v>151.69999999999999</v>
      </c>
      <c r="T212">
        <v>145.5</v>
      </c>
      <c r="U212">
        <v>150.80000000000001</v>
      </c>
      <c r="V212">
        <v>448</v>
      </c>
      <c r="W212">
        <v>146.9</v>
      </c>
      <c r="X212">
        <v>150.30000000000001</v>
      </c>
      <c r="Y212">
        <v>148</v>
      </c>
      <c r="Z212">
        <f t="shared" si="10"/>
        <v>294.89999999999998</v>
      </c>
      <c r="AA212">
        <v>145.4</v>
      </c>
      <c r="AB212">
        <v>130.30000000000001</v>
      </c>
      <c r="AC212">
        <v>143.1</v>
      </c>
      <c r="AD212">
        <v>150.19999999999999</v>
      </c>
      <c r="AE212">
        <v>133.1</v>
      </c>
      <c r="AF212">
        <f t="shared" si="11"/>
        <v>278.5</v>
      </c>
      <c r="AG212">
        <v>140.1</v>
      </c>
      <c r="AH212">
        <v>142.4</v>
      </c>
    </row>
    <row r="213" spans="1:34" x14ac:dyDescent="0.35">
      <c r="A213" t="s">
        <v>30</v>
      </c>
      <c r="B213">
        <v>2018</v>
      </c>
      <c r="C213" t="s">
        <v>42</v>
      </c>
      <c r="D213">
        <v>138.1</v>
      </c>
      <c r="E213">
        <v>146.30000000000001</v>
      </c>
      <c r="F213">
        <v>137.80000000000001</v>
      </c>
      <c r="G213">
        <v>141.6</v>
      </c>
      <c r="H213">
        <v>118.1</v>
      </c>
      <c r="I213">
        <v>141.5</v>
      </c>
      <c r="J213">
        <v>145.19999999999999</v>
      </c>
      <c r="K213">
        <v>115.3</v>
      </c>
      <c r="L213">
        <v>112.5</v>
      </c>
      <c r="M213">
        <v>141.4</v>
      </c>
      <c r="N213">
        <v>128</v>
      </c>
      <c r="O213">
        <v>152.6</v>
      </c>
      <c r="P213">
        <v>139.1</v>
      </c>
      <c r="Q213">
        <f t="shared" si="9"/>
        <v>1757.4999999999998</v>
      </c>
      <c r="R213">
        <v>164.4</v>
      </c>
      <c r="S213">
        <v>142.4</v>
      </c>
      <c r="T213">
        <v>130.19999999999999</v>
      </c>
      <c r="U213">
        <v>140.5</v>
      </c>
      <c r="V213">
        <v>413.1</v>
      </c>
      <c r="W213">
        <v>146.9</v>
      </c>
      <c r="X213">
        <v>136.69999999999999</v>
      </c>
      <c r="Y213">
        <v>135.80000000000001</v>
      </c>
      <c r="Z213">
        <f t="shared" si="10"/>
        <v>282.70000000000005</v>
      </c>
      <c r="AA213">
        <v>136.80000000000001</v>
      </c>
      <c r="AB213">
        <v>121.2</v>
      </c>
      <c r="AC213">
        <v>131.30000000000001</v>
      </c>
      <c r="AD213">
        <v>146.1</v>
      </c>
      <c r="AE213">
        <v>130.5</v>
      </c>
      <c r="AF213">
        <f t="shared" si="11"/>
        <v>267.3</v>
      </c>
      <c r="AG213">
        <v>132.19999999999999</v>
      </c>
      <c r="AH213">
        <v>139</v>
      </c>
    </row>
    <row r="214" spans="1:34" x14ac:dyDescent="0.35">
      <c r="A214" t="s">
        <v>31</v>
      </c>
      <c r="B214">
        <v>2018</v>
      </c>
      <c r="C214" t="s">
        <v>42</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f t="shared" si="9"/>
        <v>1775.7000000000003</v>
      </c>
      <c r="R214">
        <v>162.6</v>
      </c>
      <c r="S214">
        <v>148</v>
      </c>
      <c r="T214">
        <v>139.1</v>
      </c>
      <c r="U214">
        <v>146.69999999999999</v>
      </c>
      <c r="V214">
        <v>433.8</v>
      </c>
      <c r="W214">
        <v>146.9</v>
      </c>
      <c r="X214">
        <v>145.1</v>
      </c>
      <c r="Y214">
        <v>142.19999999999999</v>
      </c>
      <c r="Z214">
        <f t="shared" si="10"/>
        <v>289.10000000000002</v>
      </c>
      <c r="AA214">
        <v>142.1</v>
      </c>
      <c r="AB214">
        <v>125.5</v>
      </c>
      <c r="AC214">
        <v>136.5</v>
      </c>
      <c r="AD214">
        <v>147.80000000000001</v>
      </c>
      <c r="AE214">
        <v>132</v>
      </c>
      <c r="AF214">
        <f t="shared" si="11"/>
        <v>274.10000000000002</v>
      </c>
      <c r="AG214">
        <v>136.30000000000001</v>
      </c>
      <c r="AH214">
        <v>140.80000000000001</v>
      </c>
    </row>
    <row r="215" spans="1:34" x14ac:dyDescent="0.35">
      <c r="A215" t="s">
        <v>28</v>
      </c>
      <c r="B215">
        <v>2018</v>
      </c>
      <c r="C215" t="s">
        <v>43</v>
      </c>
      <c r="D215">
        <v>137.1</v>
      </c>
      <c r="E215">
        <v>151.9</v>
      </c>
      <c r="F215">
        <v>137.4</v>
      </c>
      <c r="G215">
        <v>142.4</v>
      </c>
      <c r="H215">
        <v>124.2</v>
      </c>
      <c r="I215">
        <v>140.19999999999999</v>
      </c>
      <c r="J215">
        <v>136.6</v>
      </c>
      <c r="K215">
        <v>120.9</v>
      </c>
      <c r="L215">
        <v>109.9</v>
      </c>
      <c r="M215">
        <v>140.19999999999999</v>
      </c>
      <c r="N215">
        <v>137.80000000000001</v>
      </c>
      <c r="O215">
        <v>156</v>
      </c>
      <c r="P215">
        <v>138.5</v>
      </c>
      <c r="Q215">
        <f t="shared" si="9"/>
        <v>1773.1000000000001</v>
      </c>
      <c r="R215">
        <v>162.4</v>
      </c>
      <c r="S215">
        <v>151.6</v>
      </c>
      <c r="T215">
        <v>145.9</v>
      </c>
      <c r="U215">
        <v>150.80000000000001</v>
      </c>
      <c r="V215">
        <v>448.3</v>
      </c>
      <c r="W215">
        <v>146.5</v>
      </c>
      <c r="X215">
        <v>149</v>
      </c>
      <c r="Y215">
        <v>149.5</v>
      </c>
      <c r="Z215">
        <f t="shared" si="10"/>
        <v>296</v>
      </c>
      <c r="AA215">
        <v>149.6</v>
      </c>
      <c r="AB215">
        <v>128.9</v>
      </c>
      <c r="AC215">
        <v>143.30000000000001</v>
      </c>
      <c r="AD215">
        <v>155.1</v>
      </c>
      <c r="AE215">
        <v>133.19999999999999</v>
      </c>
      <c r="AF215">
        <f t="shared" si="11"/>
        <v>282.79999999999995</v>
      </c>
      <c r="AG215">
        <v>141.6</v>
      </c>
      <c r="AH215">
        <v>141.9</v>
      </c>
    </row>
    <row r="216" spans="1:34" x14ac:dyDescent="0.35">
      <c r="A216" t="s">
        <v>30</v>
      </c>
      <c r="B216">
        <v>2018</v>
      </c>
      <c r="C216" t="s">
        <v>43</v>
      </c>
      <c r="D216">
        <v>138.5</v>
      </c>
      <c r="E216">
        <v>147.80000000000001</v>
      </c>
      <c r="F216">
        <v>141.1</v>
      </c>
      <c r="G216">
        <v>141.6</v>
      </c>
      <c r="H216">
        <v>118.1</v>
      </c>
      <c r="I216">
        <v>138.5</v>
      </c>
      <c r="J216">
        <v>132.4</v>
      </c>
      <c r="K216">
        <v>117.5</v>
      </c>
      <c r="L216">
        <v>111</v>
      </c>
      <c r="M216">
        <v>141.5</v>
      </c>
      <c r="N216">
        <v>128.1</v>
      </c>
      <c r="O216">
        <v>152.9</v>
      </c>
      <c r="P216">
        <v>137.6</v>
      </c>
      <c r="Q216">
        <f t="shared" si="9"/>
        <v>1746.6</v>
      </c>
      <c r="R216">
        <v>164.6</v>
      </c>
      <c r="S216">
        <v>142.69999999999999</v>
      </c>
      <c r="T216">
        <v>130.30000000000001</v>
      </c>
      <c r="U216">
        <v>140.80000000000001</v>
      </c>
      <c r="V216">
        <v>413.8</v>
      </c>
      <c r="W216">
        <v>146.5</v>
      </c>
      <c r="X216">
        <v>132.4</v>
      </c>
      <c r="Y216">
        <v>136.19999999999999</v>
      </c>
      <c r="Z216">
        <f t="shared" si="10"/>
        <v>282.7</v>
      </c>
      <c r="AA216">
        <v>137.30000000000001</v>
      </c>
      <c r="AB216">
        <v>118.8</v>
      </c>
      <c r="AC216">
        <v>131.69999999999999</v>
      </c>
      <c r="AD216">
        <v>146.5</v>
      </c>
      <c r="AE216">
        <v>130.80000000000001</v>
      </c>
      <c r="AF216">
        <f t="shared" si="11"/>
        <v>268.10000000000002</v>
      </c>
      <c r="AG216">
        <v>131.69999999999999</v>
      </c>
      <c r="AH216">
        <v>138</v>
      </c>
    </row>
    <row r="217" spans="1:34" x14ac:dyDescent="0.35">
      <c r="A217" t="s">
        <v>31</v>
      </c>
      <c r="B217">
        <v>2018</v>
      </c>
      <c r="C217" t="s">
        <v>43</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f t="shared" si="9"/>
        <v>1762.7999999999997</v>
      </c>
      <c r="R217">
        <v>163</v>
      </c>
      <c r="S217">
        <v>148.1</v>
      </c>
      <c r="T217">
        <v>139.4</v>
      </c>
      <c r="U217">
        <v>146.80000000000001</v>
      </c>
      <c r="V217">
        <v>434.3</v>
      </c>
      <c r="W217">
        <v>146.5</v>
      </c>
      <c r="X217">
        <v>142.69999999999999</v>
      </c>
      <c r="Y217">
        <v>143.19999999999999</v>
      </c>
      <c r="Z217">
        <f t="shared" si="10"/>
        <v>289.7</v>
      </c>
      <c r="AA217">
        <v>144.9</v>
      </c>
      <c r="AB217">
        <v>123.6</v>
      </c>
      <c r="AC217">
        <v>136.80000000000001</v>
      </c>
      <c r="AD217">
        <v>150.1</v>
      </c>
      <c r="AE217">
        <v>132.19999999999999</v>
      </c>
      <c r="AF217">
        <f t="shared" si="11"/>
        <v>277.10000000000002</v>
      </c>
      <c r="AG217">
        <v>136.80000000000001</v>
      </c>
      <c r="AH217">
        <v>140.1</v>
      </c>
    </row>
    <row r="218" spans="1:34" x14ac:dyDescent="0.35">
      <c r="A218" t="s">
        <v>28</v>
      </c>
      <c r="B218">
        <v>2019</v>
      </c>
      <c r="C218" t="s">
        <v>29</v>
      </c>
      <c r="D218">
        <v>136.6</v>
      </c>
      <c r="E218">
        <v>152.5</v>
      </c>
      <c r="F218">
        <v>138.19999999999999</v>
      </c>
      <c r="G218">
        <v>142.4</v>
      </c>
      <c r="H218">
        <v>123.9</v>
      </c>
      <c r="I218">
        <v>135.5</v>
      </c>
      <c r="J218">
        <v>131.69999999999999</v>
      </c>
      <c r="K218">
        <v>121.3</v>
      </c>
      <c r="L218">
        <v>108.4</v>
      </c>
      <c r="M218">
        <v>138.9</v>
      </c>
      <c r="N218">
        <v>137</v>
      </c>
      <c r="O218">
        <v>155.80000000000001</v>
      </c>
      <c r="P218">
        <v>137.4</v>
      </c>
      <c r="Q218">
        <f t="shared" si="9"/>
        <v>1759.6000000000001</v>
      </c>
      <c r="R218">
        <v>162.69999999999999</v>
      </c>
      <c r="S218">
        <v>150.6</v>
      </c>
      <c r="T218">
        <v>145.1</v>
      </c>
      <c r="U218">
        <v>149.9</v>
      </c>
      <c r="V218">
        <v>445.6</v>
      </c>
      <c r="W218">
        <v>147.69999999999999</v>
      </c>
      <c r="X218">
        <v>146.19999999999999</v>
      </c>
      <c r="Y218">
        <v>150.1</v>
      </c>
      <c r="Z218">
        <f t="shared" si="10"/>
        <v>297.79999999999995</v>
      </c>
      <c r="AA218">
        <v>149.6</v>
      </c>
      <c r="AB218">
        <v>128.6</v>
      </c>
      <c r="AC218">
        <v>142.9</v>
      </c>
      <c r="AD218">
        <v>155.19999999999999</v>
      </c>
      <c r="AE218">
        <v>133.5</v>
      </c>
      <c r="AF218">
        <f t="shared" si="11"/>
        <v>283.10000000000002</v>
      </c>
      <c r="AG218">
        <v>141.69999999999999</v>
      </c>
      <c r="AH218">
        <v>141</v>
      </c>
    </row>
    <row r="219" spans="1:34" x14ac:dyDescent="0.35">
      <c r="A219" t="s">
        <v>30</v>
      </c>
      <c r="B219">
        <v>2019</v>
      </c>
      <c r="C219" t="s">
        <v>29</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f t="shared" si="9"/>
        <v>1744.3000000000002</v>
      </c>
      <c r="R219">
        <v>164.7</v>
      </c>
      <c r="S219">
        <v>143</v>
      </c>
      <c r="T219">
        <v>130.4</v>
      </c>
      <c r="U219">
        <v>141.1</v>
      </c>
      <c r="V219">
        <v>414.5</v>
      </c>
      <c r="W219">
        <v>147.69999999999999</v>
      </c>
      <c r="X219">
        <v>128.6</v>
      </c>
      <c r="Y219">
        <v>136.30000000000001</v>
      </c>
      <c r="Z219">
        <f t="shared" si="10"/>
        <v>284</v>
      </c>
      <c r="AA219">
        <v>137.80000000000001</v>
      </c>
      <c r="AB219">
        <v>118.6</v>
      </c>
      <c r="AC219">
        <v>131.9</v>
      </c>
      <c r="AD219">
        <v>146.6</v>
      </c>
      <c r="AE219">
        <v>131.69999999999999</v>
      </c>
      <c r="AF219">
        <f t="shared" si="11"/>
        <v>269.5</v>
      </c>
      <c r="AG219">
        <v>131.80000000000001</v>
      </c>
      <c r="AH219">
        <v>138</v>
      </c>
    </row>
    <row r="220" spans="1:34" x14ac:dyDescent="0.35">
      <c r="A220" t="s">
        <v>31</v>
      </c>
      <c r="B220">
        <v>2019</v>
      </c>
      <c r="C220" t="s">
        <v>29</v>
      </c>
      <c r="D220">
        <v>137.1</v>
      </c>
      <c r="E220">
        <v>151.4</v>
      </c>
      <c r="F220">
        <v>140.19999999999999</v>
      </c>
      <c r="G220">
        <v>142.1</v>
      </c>
      <c r="H220">
        <v>121.8</v>
      </c>
      <c r="I220">
        <v>135.4</v>
      </c>
      <c r="J220">
        <v>131.30000000000001</v>
      </c>
      <c r="K220">
        <v>120.3</v>
      </c>
      <c r="L220">
        <v>109.1</v>
      </c>
      <c r="M220">
        <v>139.4</v>
      </c>
      <c r="N220">
        <v>133.30000000000001</v>
      </c>
      <c r="O220">
        <v>154.6</v>
      </c>
      <c r="P220">
        <v>137.4</v>
      </c>
      <c r="Q220">
        <f t="shared" si="9"/>
        <v>1753.3999999999999</v>
      </c>
      <c r="R220">
        <v>163.19999999999999</v>
      </c>
      <c r="S220">
        <v>147.6</v>
      </c>
      <c r="T220">
        <v>139</v>
      </c>
      <c r="U220">
        <v>146.4</v>
      </c>
      <c r="V220">
        <v>433</v>
      </c>
      <c r="W220">
        <v>147.69999999999999</v>
      </c>
      <c r="X220">
        <v>139.5</v>
      </c>
      <c r="Y220">
        <v>143.6</v>
      </c>
      <c r="Z220">
        <f t="shared" si="10"/>
        <v>291.29999999999995</v>
      </c>
      <c r="AA220">
        <v>145.1</v>
      </c>
      <c r="AB220">
        <v>123.3</v>
      </c>
      <c r="AC220">
        <v>136.69999999999999</v>
      </c>
      <c r="AD220">
        <v>150.19999999999999</v>
      </c>
      <c r="AE220">
        <v>132.80000000000001</v>
      </c>
      <c r="AF220">
        <f t="shared" si="11"/>
        <v>277.89999999999998</v>
      </c>
      <c r="AG220">
        <v>136.9</v>
      </c>
      <c r="AH220">
        <v>139.6</v>
      </c>
    </row>
    <row r="221" spans="1:34" x14ac:dyDescent="0.35">
      <c r="A221" t="s">
        <v>28</v>
      </c>
      <c r="B221">
        <v>2019</v>
      </c>
      <c r="C221" t="s">
        <v>32</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f t="shared" si="9"/>
        <v>1759.8000000000002</v>
      </c>
      <c r="R221">
        <v>162.80000000000001</v>
      </c>
      <c r="S221">
        <v>150.5</v>
      </c>
      <c r="T221">
        <v>146.1</v>
      </c>
      <c r="U221">
        <v>149.9</v>
      </c>
      <c r="V221">
        <v>446.5</v>
      </c>
      <c r="W221">
        <v>148.5</v>
      </c>
      <c r="X221">
        <v>145.30000000000001</v>
      </c>
      <c r="Y221">
        <v>150.1</v>
      </c>
      <c r="Z221">
        <f t="shared" si="10"/>
        <v>298.60000000000002</v>
      </c>
      <c r="AA221">
        <v>149.9</v>
      </c>
      <c r="AB221">
        <v>129.19999999999999</v>
      </c>
      <c r="AC221">
        <v>143.4</v>
      </c>
      <c r="AD221">
        <v>155.5</v>
      </c>
      <c r="AE221">
        <v>134.9</v>
      </c>
      <c r="AF221">
        <f t="shared" si="11"/>
        <v>284.8</v>
      </c>
      <c r="AG221">
        <v>142.19999999999999</v>
      </c>
      <c r="AH221">
        <v>141</v>
      </c>
    </row>
    <row r="222" spans="1:34" x14ac:dyDescent="0.35">
      <c r="A222" t="s">
        <v>30</v>
      </c>
      <c r="B222">
        <v>2019</v>
      </c>
      <c r="C222" t="s">
        <v>32</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f t="shared" si="9"/>
        <v>1754.4</v>
      </c>
      <c r="R222">
        <v>164.9</v>
      </c>
      <c r="S222">
        <v>143.30000000000001</v>
      </c>
      <c r="T222">
        <v>130.80000000000001</v>
      </c>
      <c r="U222">
        <v>141.4</v>
      </c>
      <c r="V222">
        <v>415.5</v>
      </c>
      <c r="W222">
        <v>148.5</v>
      </c>
      <c r="X222">
        <v>127.1</v>
      </c>
      <c r="Y222">
        <v>136.6</v>
      </c>
      <c r="Z222">
        <f t="shared" si="10"/>
        <v>285.10000000000002</v>
      </c>
      <c r="AA222">
        <v>138.5</v>
      </c>
      <c r="AB222">
        <v>119.2</v>
      </c>
      <c r="AC222">
        <v>132.19999999999999</v>
      </c>
      <c r="AD222">
        <v>146.6</v>
      </c>
      <c r="AE222">
        <v>133</v>
      </c>
      <c r="AF222">
        <f t="shared" si="11"/>
        <v>271.5</v>
      </c>
      <c r="AG222">
        <v>132.4</v>
      </c>
      <c r="AH222">
        <v>138.6</v>
      </c>
    </row>
    <row r="223" spans="1:34" x14ac:dyDescent="0.35">
      <c r="A223" t="s">
        <v>31</v>
      </c>
      <c r="B223">
        <v>2019</v>
      </c>
      <c r="C223" t="s">
        <v>32</v>
      </c>
      <c r="D223">
        <v>137.6</v>
      </c>
      <c r="E223">
        <v>152</v>
      </c>
      <c r="F223">
        <v>141.5</v>
      </c>
      <c r="G223">
        <v>142.19999999999999</v>
      </c>
      <c r="H223">
        <v>122</v>
      </c>
      <c r="I223">
        <v>136.4</v>
      </c>
      <c r="J223">
        <v>129.69999999999999</v>
      </c>
      <c r="K223">
        <v>121</v>
      </c>
      <c r="L223">
        <v>109</v>
      </c>
      <c r="M223">
        <v>139.69999999999999</v>
      </c>
      <c r="N223">
        <v>133.6</v>
      </c>
      <c r="O223">
        <v>154.9</v>
      </c>
      <c r="P223">
        <v>137.5</v>
      </c>
      <c r="Q223">
        <f t="shared" si="9"/>
        <v>1757.1</v>
      </c>
      <c r="R223">
        <v>163.4</v>
      </c>
      <c r="S223">
        <v>147.69999999999999</v>
      </c>
      <c r="T223">
        <v>139.69999999999999</v>
      </c>
      <c r="U223">
        <v>146.5</v>
      </c>
      <c r="V223">
        <v>433.9</v>
      </c>
      <c r="W223">
        <v>148.5</v>
      </c>
      <c r="X223">
        <v>138.4</v>
      </c>
      <c r="Y223">
        <v>143.69999999999999</v>
      </c>
      <c r="Z223">
        <f t="shared" si="10"/>
        <v>292.2</v>
      </c>
      <c r="AA223">
        <v>145.6</v>
      </c>
      <c r="AB223">
        <v>123.9</v>
      </c>
      <c r="AC223">
        <v>137.1</v>
      </c>
      <c r="AD223">
        <v>150.30000000000001</v>
      </c>
      <c r="AE223">
        <v>134.1</v>
      </c>
      <c r="AF223">
        <f t="shared" si="11"/>
        <v>279.7</v>
      </c>
      <c r="AG223">
        <v>137.4</v>
      </c>
      <c r="AH223">
        <v>139.9</v>
      </c>
    </row>
    <row r="224" spans="1:34" x14ac:dyDescent="0.35">
      <c r="A224" t="s">
        <v>28</v>
      </c>
      <c r="B224">
        <v>2019</v>
      </c>
      <c r="C224" t="s">
        <v>33</v>
      </c>
      <c r="D224">
        <v>136.9</v>
      </c>
      <c r="E224">
        <v>154.1</v>
      </c>
      <c r="F224">
        <v>138.69999999999999</v>
      </c>
      <c r="G224">
        <v>142.5</v>
      </c>
      <c r="H224">
        <v>124.1</v>
      </c>
      <c r="I224">
        <v>136.1</v>
      </c>
      <c r="J224">
        <v>128.19999999999999</v>
      </c>
      <c r="K224">
        <v>122.3</v>
      </c>
      <c r="L224">
        <v>108.3</v>
      </c>
      <c r="M224">
        <v>138.9</v>
      </c>
      <c r="N224">
        <v>137.4</v>
      </c>
      <c r="O224">
        <v>156.4</v>
      </c>
      <c r="P224">
        <v>137.30000000000001</v>
      </c>
      <c r="Q224">
        <f t="shared" si="9"/>
        <v>1761.2000000000003</v>
      </c>
      <c r="R224">
        <v>162.9</v>
      </c>
      <c r="S224">
        <v>150.80000000000001</v>
      </c>
      <c r="T224">
        <v>146.1</v>
      </c>
      <c r="U224">
        <v>150.1</v>
      </c>
      <c r="V224">
        <v>447</v>
      </c>
      <c r="W224">
        <v>149</v>
      </c>
      <c r="X224">
        <v>146.4</v>
      </c>
      <c r="Y224">
        <v>150</v>
      </c>
      <c r="Z224">
        <f t="shared" si="10"/>
        <v>299</v>
      </c>
      <c r="AA224">
        <v>150.4</v>
      </c>
      <c r="AB224">
        <v>129.9</v>
      </c>
      <c r="AC224">
        <v>143.80000000000001</v>
      </c>
      <c r="AD224">
        <v>155.5</v>
      </c>
      <c r="AE224">
        <v>134</v>
      </c>
      <c r="AF224">
        <f t="shared" si="11"/>
        <v>284.39999999999998</v>
      </c>
      <c r="AG224">
        <v>142.4</v>
      </c>
      <c r="AH224">
        <v>141.19999999999999</v>
      </c>
    </row>
    <row r="225" spans="1:34" x14ac:dyDescent="0.35">
      <c r="A225" t="s">
        <v>30</v>
      </c>
      <c r="B225">
        <v>2019</v>
      </c>
      <c r="C225" t="s">
        <v>33</v>
      </c>
      <c r="D225">
        <v>139.69999999999999</v>
      </c>
      <c r="E225">
        <v>151.1</v>
      </c>
      <c r="F225">
        <v>142.9</v>
      </c>
      <c r="G225">
        <v>141.9</v>
      </c>
      <c r="H225">
        <v>118.4</v>
      </c>
      <c r="I225">
        <v>139.4</v>
      </c>
      <c r="J225">
        <v>141.19999999999999</v>
      </c>
      <c r="K225">
        <v>120.7</v>
      </c>
      <c r="L225">
        <v>110.4</v>
      </c>
      <c r="M225">
        <v>140.69999999999999</v>
      </c>
      <c r="N225">
        <v>128.5</v>
      </c>
      <c r="O225">
        <v>153.9</v>
      </c>
      <c r="P225">
        <v>139.6</v>
      </c>
      <c r="Q225">
        <f t="shared" si="9"/>
        <v>1768.4</v>
      </c>
      <c r="R225">
        <v>165.3</v>
      </c>
      <c r="S225">
        <v>143.5</v>
      </c>
      <c r="T225">
        <v>131.19999999999999</v>
      </c>
      <c r="U225">
        <v>141.6</v>
      </c>
      <c r="V225">
        <v>416.29999999999995</v>
      </c>
      <c r="W225">
        <v>149</v>
      </c>
      <c r="X225">
        <v>128.80000000000001</v>
      </c>
      <c r="Y225">
        <v>136.80000000000001</v>
      </c>
      <c r="Z225">
        <f t="shared" si="10"/>
        <v>285.8</v>
      </c>
      <c r="AA225">
        <v>139.19999999999999</v>
      </c>
      <c r="AB225">
        <v>119.9</v>
      </c>
      <c r="AC225">
        <v>133</v>
      </c>
      <c r="AD225">
        <v>146.69999999999999</v>
      </c>
      <c r="AE225">
        <v>132.5</v>
      </c>
      <c r="AF225">
        <f t="shared" si="11"/>
        <v>271.7</v>
      </c>
      <c r="AG225">
        <v>132.80000000000001</v>
      </c>
      <c r="AH225">
        <v>139.5</v>
      </c>
    </row>
    <row r="226" spans="1:34" x14ac:dyDescent="0.35">
      <c r="A226" t="s">
        <v>31</v>
      </c>
      <c r="B226">
        <v>2019</v>
      </c>
      <c r="C226" t="s">
        <v>33</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f t="shared" si="9"/>
        <v>1762.9</v>
      </c>
      <c r="R226">
        <v>163.5</v>
      </c>
      <c r="S226">
        <v>147.9</v>
      </c>
      <c r="T226">
        <v>139.9</v>
      </c>
      <c r="U226">
        <v>146.69999999999999</v>
      </c>
      <c r="V226">
        <v>434.5</v>
      </c>
      <c r="W226">
        <v>149</v>
      </c>
      <c r="X226">
        <v>139.69999999999999</v>
      </c>
      <c r="Y226">
        <v>143.80000000000001</v>
      </c>
      <c r="Z226">
        <f t="shared" si="10"/>
        <v>292.8</v>
      </c>
      <c r="AA226">
        <v>146.19999999999999</v>
      </c>
      <c r="AB226">
        <v>124.6</v>
      </c>
      <c r="AC226">
        <v>137.69999999999999</v>
      </c>
      <c r="AD226">
        <v>150.30000000000001</v>
      </c>
      <c r="AE226">
        <v>133.4</v>
      </c>
      <c r="AF226">
        <f t="shared" si="11"/>
        <v>279.60000000000002</v>
      </c>
      <c r="AG226">
        <v>137.69999999999999</v>
      </c>
      <c r="AH226">
        <v>140.4</v>
      </c>
    </row>
    <row r="227" spans="1:34" x14ac:dyDescent="0.35">
      <c r="A227" t="s">
        <v>28</v>
      </c>
      <c r="B227">
        <v>2019</v>
      </c>
      <c r="C227" t="s">
        <v>35</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f t="shared" si="9"/>
        <v>1782.1000000000001</v>
      </c>
      <c r="R227">
        <v>163.30000000000001</v>
      </c>
      <c r="S227">
        <v>151.30000000000001</v>
      </c>
      <c r="T227">
        <v>146.6</v>
      </c>
      <c r="U227">
        <v>150.69999999999999</v>
      </c>
      <c r="V227">
        <v>448.59999999999997</v>
      </c>
      <c r="W227">
        <v>150.1</v>
      </c>
      <c r="X227">
        <v>146.9</v>
      </c>
      <c r="Y227">
        <v>149.5</v>
      </c>
      <c r="Z227">
        <f t="shared" si="10"/>
        <v>299.60000000000002</v>
      </c>
      <c r="AA227">
        <v>151.30000000000001</v>
      </c>
      <c r="AB227">
        <v>130.19999999999999</v>
      </c>
      <c r="AC227">
        <v>145.9</v>
      </c>
      <c r="AD227">
        <v>156.69999999999999</v>
      </c>
      <c r="AE227">
        <v>133.9</v>
      </c>
      <c r="AF227">
        <f t="shared" si="11"/>
        <v>285.20000000000005</v>
      </c>
      <c r="AG227">
        <v>142.9</v>
      </c>
      <c r="AH227">
        <v>142.4</v>
      </c>
    </row>
    <row r="228" spans="1:34" x14ac:dyDescent="0.35">
      <c r="A228" t="s">
        <v>30</v>
      </c>
      <c r="B228">
        <v>2019</v>
      </c>
      <c r="C228" t="s">
        <v>35</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f t="shared" si="9"/>
        <v>1811.5000000000002</v>
      </c>
      <c r="R228">
        <v>166.2</v>
      </c>
      <c r="S228">
        <v>144</v>
      </c>
      <c r="T228">
        <v>131.69999999999999</v>
      </c>
      <c r="U228">
        <v>142.19999999999999</v>
      </c>
      <c r="V228">
        <v>417.9</v>
      </c>
      <c r="W228">
        <v>150.1</v>
      </c>
      <c r="X228">
        <v>129.4</v>
      </c>
      <c r="Y228">
        <v>137.19999999999999</v>
      </c>
      <c r="Z228">
        <f t="shared" si="10"/>
        <v>287.29999999999995</v>
      </c>
      <c r="AA228">
        <v>139.80000000000001</v>
      </c>
      <c r="AB228">
        <v>120.1</v>
      </c>
      <c r="AC228">
        <v>134</v>
      </c>
      <c r="AD228">
        <v>148</v>
      </c>
      <c r="AE228">
        <v>132.6</v>
      </c>
      <c r="AF228">
        <f t="shared" si="11"/>
        <v>272.39999999999998</v>
      </c>
      <c r="AG228">
        <v>133.30000000000001</v>
      </c>
      <c r="AH228">
        <v>141.5</v>
      </c>
    </row>
    <row r="229" spans="1:34" x14ac:dyDescent="0.35">
      <c r="A229" t="s">
        <v>31</v>
      </c>
      <c r="B229">
        <v>2019</v>
      </c>
      <c r="C229" t="s">
        <v>35</v>
      </c>
      <c r="D229">
        <v>138.30000000000001</v>
      </c>
      <c r="E229">
        <v>158.5</v>
      </c>
      <c r="F229">
        <v>136</v>
      </c>
      <c r="G229">
        <v>142.5</v>
      </c>
      <c r="H229">
        <v>122</v>
      </c>
      <c r="I229">
        <v>146.5</v>
      </c>
      <c r="J229">
        <v>143</v>
      </c>
      <c r="K229">
        <v>124.9</v>
      </c>
      <c r="L229">
        <v>109.9</v>
      </c>
      <c r="M229">
        <v>139.9</v>
      </c>
      <c r="N229">
        <v>134</v>
      </c>
      <c r="O229">
        <v>155.5</v>
      </c>
      <c r="P229">
        <v>140.9</v>
      </c>
      <c r="Q229">
        <f t="shared" si="9"/>
        <v>1791.9000000000003</v>
      </c>
      <c r="R229">
        <v>164.1</v>
      </c>
      <c r="S229">
        <v>148.4</v>
      </c>
      <c r="T229">
        <v>140.4</v>
      </c>
      <c r="U229">
        <v>147.30000000000001</v>
      </c>
      <c r="V229">
        <v>436.1</v>
      </c>
      <c r="W229">
        <v>150.1</v>
      </c>
      <c r="X229">
        <v>140.30000000000001</v>
      </c>
      <c r="Y229">
        <v>143.69999999999999</v>
      </c>
      <c r="Z229">
        <f t="shared" si="10"/>
        <v>293.79999999999995</v>
      </c>
      <c r="AA229">
        <v>146.9</v>
      </c>
      <c r="AB229">
        <v>124.9</v>
      </c>
      <c r="AC229">
        <v>139.19999999999999</v>
      </c>
      <c r="AD229">
        <v>151.6</v>
      </c>
      <c r="AE229">
        <v>133.4</v>
      </c>
      <c r="AF229">
        <f t="shared" si="11"/>
        <v>280.3</v>
      </c>
      <c r="AG229">
        <v>138.19999999999999</v>
      </c>
      <c r="AH229">
        <v>142</v>
      </c>
    </row>
    <row r="230" spans="1:34" x14ac:dyDescent="0.35">
      <c r="A230" t="s">
        <v>28</v>
      </c>
      <c r="B230">
        <v>2019</v>
      </c>
      <c r="C230" t="s">
        <v>36</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f t="shared" si="9"/>
        <v>1804.1999999999998</v>
      </c>
      <c r="R230">
        <v>164.2</v>
      </c>
      <c r="S230">
        <v>151.4</v>
      </c>
      <c r="T230">
        <v>146.5</v>
      </c>
      <c r="U230">
        <v>150.69999999999999</v>
      </c>
      <c r="V230">
        <v>448.59999999999997</v>
      </c>
      <c r="W230">
        <v>149.4</v>
      </c>
      <c r="X230">
        <v>147.80000000000001</v>
      </c>
      <c r="Y230">
        <v>149.6</v>
      </c>
      <c r="Z230">
        <f t="shared" si="10"/>
        <v>299</v>
      </c>
      <c r="AA230">
        <v>151.69999999999999</v>
      </c>
      <c r="AB230">
        <v>130.19999999999999</v>
      </c>
      <c r="AC230">
        <v>146.4</v>
      </c>
      <c r="AD230">
        <v>157.69999999999999</v>
      </c>
      <c r="AE230">
        <v>134.80000000000001</v>
      </c>
      <c r="AF230">
        <f t="shared" si="11"/>
        <v>286.5</v>
      </c>
      <c r="AG230">
        <v>143.30000000000001</v>
      </c>
      <c r="AH230">
        <v>143.6</v>
      </c>
    </row>
    <row r="231" spans="1:34" x14ac:dyDescent="0.35">
      <c r="A231" t="s">
        <v>30</v>
      </c>
      <c r="B231">
        <v>2019</v>
      </c>
      <c r="C231" t="s">
        <v>36</v>
      </c>
      <c r="D231">
        <v>140.69999999999999</v>
      </c>
      <c r="E231">
        <v>159.6</v>
      </c>
      <c r="F231">
        <v>140.4</v>
      </c>
      <c r="G231">
        <v>143.4</v>
      </c>
      <c r="H231">
        <v>118.6</v>
      </c>
      <c r="I231">
        <v>150.9</v>
      </c>
      <c r="J231">
        <v>169.8</v>
      </c>
      <c r="K231">
        <v>127.4</v>
      </c>
      <c r="L231">
        <v>111.8</v>
      </c>
      <c r="M231">
        <v>141</v>
      </c>
      <c r="N231">
        <v>129</v>
      </c>
      <c r="O231">
        <v>155.1</v>
      </c>
      <c r="P231">
        <v>145.6</v>
      </c>
      <c r="Q231">
        <f t="shared" si="9"/>
        <v>1833.2999999999997</v>
      </c>
      <c r="R231">
        <v>166.7</v>
      </c>
      <c r="S231">
        <v>144.30000000000001</v>
      </c>
      <c r="T231">
        <v>131.69999999999999</v>
      </c>
      <c r="U231">
        <v>142.4</v>
      </c>
      <c r="V231">
        <v>418.4</v>
      </c>
      <c r="W231">
        <v>149.4</v>
      </c>
      <c r="X231">
        <v>130.5</v>
      </c>
      <c r="Y231">
        <v>137.4</v>
      </c>
      <c r="Z231">
        <f t="shared" si="10"/>
        <v>286.8</v>
      </c>
      <c r="AA231">
        <v>140.30000000000001</v>
      </c>
      <c r="AB231">
        <v>119.6</v>
      </c>
      <c r="AC231">
        <v>134.30000000000001</v>
      </c>
      <c r="AD231">
        <v>148.9</v>
      </c>
      <c r="AE231">
        <v>133.69999999999999</v>
      </c>
      <c r="AF231">
        <f t="shared" si="11"/>
        <v>274</v>
      </c>
      <c r="AG231">
        <v>133.6</v>
      </c>
      <c r="AH231">
        <v>142.1</v>
      </c>
    </row>
    <row r="232" spans="1:34" x14ac:dyDescent="0.35">
      <c r="A232" t="s">
        <v>31</v>
      </c>
      <c r="B232">
        <v>2019</v>
      </c>
      <c r="C232" t="s">
        <v>36</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f t="shared" si="9"/>
        <v>1814.1000000000001</v>
      </c>
      <c r="R232">
        <v>164.9</v>
      </c>
      <c r="S232">
        <v>148.6</v>
      </c>
      <c r="T232">
        <v>140.4</v>
      </c>
      <c r="U232">
        <v>147.4</v>
      </c>
      <c r="V232">
        <v>436.4</v>
      </c>
      <c r="W232">
        <v>149.4</v>
      </c>
      <c r="X232">
        <v>141.19999999999999</v>
      </c>
      <c r="Y232">
        <v>143.80000000000001</v>
      </c>
      <c r="Z232">
        <f t="shared" si="10"/>
        <v>293.20000000000005</v>
      </c>
      <c r="AA232">
        <v>147.4</v>
      </c>
      <c r="AB232">
        <v>124.6</v>
      </c>
      <c r="AC232">
        <v>139.6</v>
      </c>
      <c r="AD232">
        <v>152.5</v>
      </c>
      <c r="AE232">
        <v>134.30000000000001</v>
      </c>
      <c r="AF232">
        <f t="shared" si="11"/>
        <v>281.70000000000005</v>
      </c>
      <c r="AG232">
        <v>138.6</v>
      </c>
      <c r="AH232">
        <v>142.9</v>
      </c>
    </row>
    <row r="233" spans="1:34" x14ac:dyDescent="0.35">
      <c r="A233" t="s">
        <v>28</v>
      </c>
      <c r="B233">
        <v>2019</v>
      </c>
      <c r="C233" t="s">
        <v>37</v>
      </c>
      <c r="D233">
        <v>138.4</v>
      </c>
      <c r="E233">
        <v>164</v>
      </c>
      <c r="F233">
        <v>138.4</v>
      </c>
      <c r="G233">
        <v>143.9</v>
      </c>
      <c r="H233">
        <v>124.4</v>
      </c>
      <c r="I233">
        <v>146.4</v>
      </c>
      <c r="J233">
        <v>150.1</v>
      </c>
      <c r="K233">
        <v>130.6</v>
      </c>
      <c r="L233">
        <v>110.8</v>
      </c>
      <c r="M233">
        <v>141.69999999999999</v>
      </c>
      <c r="N233">
        <v>138.5</v>
      </c>
      <c r="O233">
        <v>156.69999999999999</v>
      </c>
      <c r="P233">
        <v>143</v>
      </c>
      <c r="Q233">
        <f t="shared" si="9"/>
        <v>1826.8999999999999</v>
      </c>
      <c r="R233">
        <v>164.5</v>
      </c>
      <c r="S233">
        <v>151.6</v>
      </c>
      <c r="T233">
        <v>146.6</v>
      </c>
      <c r="U233">
        <v>150.9</v>
      </c>
      <c r="V233">
        <v>449.1</v>
      </c>
      <c r="W233">
        <v>150.6</v>
      </c>
      <c r="X233">
        <v>146.80000000000001</v>
      </c>
      <c r="Y233">
        <v>150</v>
      </c>
      <c r="Z233">
        <f t="shared" si="10"/>
        <v>300.60000000000002</v>
      </c>
      <c r="AA233">
        <v>152.19999999999999</v>
      </c>
      <c r="AB233">
        <v>131.19999999999999</v>
      </c>
      <c r="AC233">
        <v>147.5</v>
      </c>
      <c r="AD233">
        <v>159.1</v>
      </c>
      <c r="AE233">
        <v>136.1</v>
      </c>
      <c r="AF233">
        <f t="shared" si="11"/>
        <v>288.29999999999995</v>
      </c>
      <c r="AG233">
        <v>144.19999999999999</v>
      </c>
      <c r="AH233">
        <v>144.9</v>
      </c>
    </row>
    <row r="234" spans="1:34" x14ac:dyDescent="0.35">
      <c r="A234" t="s">
        <v>30</v>
      </c>
      <c r="B234">
        <v>2019</v>
      </c>
      <c r="C234" t="s">
        <v>37</v>
      </c>
      <c r="D234">
        <v>141.4</v>
      </c>
      <c r="E234">
        <v>160.19999999999999</v>
      </c>
      <c r="F234">
        <v>142.5</v>
      </c>
      <c r="G234">
        <v>144.1</v>
      </c>
      <c r="H234">
        <v>119.3</v>
      </c>
      <c r="I234">
        <v>154.69999999999999</v>
      </c>
      <c r="J234">
        <v>180.1</v>
      </c>
      <c r="K234">
        <v>128.9</v>
      </c>
      <c r="L234">
        <v>111.8</v>
      </c>
      <c r="M234">
        <v>141.6</v>
      </c>
      <c r="N234">
        <v>129.5</v>
      </c>
      <c r="O234">
        <v>155.6</v>
      </c>
      <c r="P234">
        <v>147.69999999999999</v>
      </c>
      <c r="Q234">
        <f t="shared" si="9"/>
        <v>1857.3999999999999</v>
      </c>
      <c r="R234">
        <v>167.2</v>
      </c>
      <c r="S234">
        <v>144.69999999999999</v>
      </c>
      <c r="T234">
        <v>131.9</v>
      </c>
      <c r="U234">
        <v>142.69999999999999</v>
      </c>
      <c r="V234">
        <v>419.3</v>
      </c>
      <c r="W234">
        <v>150.6</v>
      </c>
      <c r="X234">
        <v>127</v>
      </c>
      <c r="Y234">
        <v>137.69999999999999</v>
      </c>
      <c r="Z234">
        <f t="shared" si="10"/>
        <v>288.29999999999995</v>
      </c>
      <c r="AA234">
        <v>140.80000000000001</v>
      </c>
      <c r="AB234">
        <v>120.6</v>
      </c>
      <c r="AC234">
        <v>135</v>
      </c>
      <c r="AD234">
        <v>150.4</v>
      </c>
      <c r="AE234">
        <v>135.1</v>
      </c>
      <c r="AF234">
        <f t="shared" si="11"/>
        <v>275.89999999999998</v>
      </c>
      <c r="AG234">
        <v>134.5</v>
      </c>
      <c r="AH234">
        <v>143.30000000000001</v>
      </c>
    </row>
    <row r="235" spans="1:34" x14ac:dyDescent="0.35">
      <c r="A235" t="s">
        <v>31</v>
      </c>
      <c r="B235">
        <v>2019</v>
      </c>
      <c r="C235" t="s">
        <v>37</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f t="shared" si="9"/>
        <v>1837.5</v>
      </c>
      <c r="R235">
        <v>165.2</v>
      </c>
      <c r="S235">
        <v>148.9</v>
      </c>
      <c r="T235">
        <v>140.5</v>
      </c>
      <c r="U235">
        <v>147.6</v>
      </c>
      <c r="V235">
        <v>437</v>
      </c>
      <c r="W235">
        <v>150.6</v>
      </c>
      <c r="X235">
        <v>139.30000000000001</v>
      </c>
      <c r="Y235">
        <v>144.19999999999999</v>
      </c>
      <c r="Z235">
        <f t="shared" si="10"/>
        <v>294.79999999999995</v>
      </c>
      <c r="AA235">
        <v>147.9</v>
      </c>
      <c r="AB235">
        <v>125.6</v>
      </c>
      <c r="AC235">
        <v>140.5</v>
      </c>
      <c r="AD235">
        <v>154</v>
      </c>
      <c r="AE235">
        <v>135.69999999999999</v>
      </c>
      <c r="AF235">
        <f t="shared" si="11"/>
        <v>283.60000000000002</v>
      </c>
      <c r="AG235">
        <v>139.5</v>
      </c>
      <c r="AH235">
        <v>144.19999999999999</v>
      </c>
    </row>
    <row r="236" spans="1:34" x14ac:dyDescent="0.35">
      <c r="A236" t="s">
        <v>28</v>
      </c>
      <c r="B236">
        <v>2019</v>
      </c>
      <c r="C236" t="s">
        <v>38</v>
      </c>
      <c r="D236">
        <v>139.19999999999999</v>
      </c>
      <c r="E236">
        <v>161.9</v>
      </c>
      <c r="F236">
        <v>137.1</v>
      </c>
      <c r="G236">
        <v>144.6</v>
      </c>
      <c r="H236">
        <v>124.7</v>
      </c>
      <c r="I236">
        <v>145.5</v>
      </c>
      <c r="J236">
        <v>156.19999999999999</v>
      </c>
      <c r="K236">
        <v>131.5</v>
      </c>
      <c r="L236">
        <v>111.7</v>
      </c>
      <c r="M236">
        <v>142.69999999999999</v>
      </c>
      <c r="N236">
        <v>138.5</v>
      </c>
      <c r="O236">
        <v>156.9</v>
      </c>
      <c r="P236">
        <v>144</v>
      </c>
      <c r="Q236">
        <f t="shared" si="9"/>
        <v>1834.5000000000002</v>
      </c>
      <c r="R236">
        <v>165.1</v>
      </c>
      <c r="S236">
        <v>151.80000000000001</v>
      </c>
      <c r="T236">
        <v>146.6</v>
      </c>
      <c r="U236">
        <v>151.1</v>
      </c>
      <c r="V236">
        <v>449.5</v>
      </c>
      <c r="W236">
        <v>151.6</v>
      </c>
      <c r="X236">
        <v>146.4</v>
      </c>
      <c r="Y236">
        <v>150.19999999999999</v>
      </c>
      <c r="Z236">
        <f t="shared" si="10"/>
        <v>301.79999999999995</v>
      </c>
      <c r="AA236">
        <v>152.69999999999999</v>
      </c>
      <c r="AB236">
        <v>131.4</v>
      </c>
      <c r="AC236">
        <v>148</v>
      </c>
      <c r="AD236">
        <v>159.69999999999999</v>
      </c>
      <c r="AE236">
        <v>138.80000000000001</v>
      </c>
      <c r="AF236">
        <f t="shared" si="11"/>
        <v>291.5</v>
      </c>
      <c r="AG236">
        <v>144.9</v>
      </c>
      <c r="AH236">
        <v>145.69999999999999</v>
      </c>
    </row>
    <row r="237" spans="1:34" x14ac:dyDescent="0.35">
      <c r="A237" t="s">
        <v>30</v>
      </c>
      <c r="B237">
        <v>2019</v>
      </c>
      <c r="C237" t="s">
        <v>38</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f t="shared" si="9"/>
        <v>1869.1</v>
      </c>
      <c r="R237">
        <v>167.9</v>
      </c>
      <c r="S237">
        <v>145</v>
      </c>
      <c r="T237">
        <v>132.19999999999999</v>
      </c>
      <c r="U237">
        <v>143</v>
      </c>
      <c r="V237">
        <v>420.2</v>
      </c>
      <c r="W237">
        <v>151.6</v>
      </c>
      <c r="X237">
        <v>125.5</v>
      </c>
      <c r="Y237">
        <v>138.1</v>
      </c>
      <c r="Z237">
        <f t="shared" si="10"/>
        <v>289.7</v>
      </c>
      <c r="AA237">
        <v>141.5</v>
      </c>
      <c r="AB237">
        <v>120.8</v>
      </c>
      <c r="AC237">
        <v>135.4</v>
      </c>
      <c r="AD237">
        <v>151.5</v>
      </c>
      <c r="AE237">
        <v>137.80000000000001</v>
      </c>
      <c r="AF237">
        <f t="shared" si="11"/>
        <v>279.3</v>
      </c>
      <c r="AG237">
        <v>135.30000000000001</v>
      </c>
      <c r="AH237">
        <v>144.19999999999999</v>
      </c>
    </row>
    <row r="238" spans="1:34" x14ac:dyDescent="0.35">
      <c r="A238" t="s">
        <v>31</v>
      </c>
      <c r="B238">
        <v>2019</v>
      </c>
      <c r="C238" t="s">
        <v>38</v>
      </c>
      <c r="D238">
        <v>140.1</v>
      </c>
      <c r="E238">
        <v>160.6</v>
      </c>
      <c r="F238">
        <v>138.5</v>
      </c>
      <c r="G238">
        <v>144.69999999999999</v>
      </c>
      <c r="H238">
        <v>122.9</v>
      </c>
      <c r="I238">
        <v>149.4</v>
      </c>
      <c r="J238">
        <v>167.4</v>
      </c>
      <c r="K238">
        <v>130.9</v>
      </c>
      <c r="L238">
        <v>112</v>
      </c>
      <c r="M238">
        <v>142.6</v>
      </c>
      <c r="N238">
        <v>134.9</v>
      </c>
      <c r="O238">
        <v>156.6</v>
      </c>
      <c r="P238">
        <v>145.9</v>
      </c>
      <c r="Q238">
        <f t="shared" si="9"/>
        <v>1846.5</v>
      </c>
      <c r="R238">
        <v>165.8</v>
      </c>
      <c r="S238">
        <v>149.1</v>
      </c>
      <c r="T238">
        <v>140.6</v>
      </c>
      <c r="U238">
        <v>147.9</v>
      </c>
      <c r="V238">
        <v>437.6</v>
      </c>
      <c r="W238">
        <v>151.6</v>
      </c>
      <c r="X238">
        <v>138.5</v>
      </c>
      <c r="Y238">
        <v>144.5</v>
      </c>
      <c r="Z238">
        <f t="shared" si="10"/>
        <v>296.10000000000002</v>
      </c>
      <c r="AA238">
        <v>148.5</v>
      </c>
      <c r="AB238">
        <v>125.8</v>
      </c>
      <c r="AC238">
        <v>140.9</v>
      </c>
      <c r="AD238">
        <v>154.9</v>
      </c>
      <c r="AE238">
        <v>138.4</v>
      </c>
      <c r="AF238">
        <f t="shared" si="11"/>
        <v>286.89999999999998</v>
      </c>
      <c r="AG238">
        <v>140.19999999999999</v>
      </c>
      <c r="AH238">
        <v>145</v>
      </c>
    </row>
    <row r="239" spans="1:34" x14ac:dyDescent="0.35">
      <c r="A239" t="s">
        <v>28</v>
      </c>
      <c r="B239">
        <v>2019</v>
      </c>
      <c r="C239" t="s">
        <v>39</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f t="shared" si="9"/>
        <v>1848.7</v>
      </c>
      <c r="R239">
        <v>165.7</v>
      </c>
      <c r="S239">
        <v>151.69999999999999</v>
      </c>
      <c r="T239">
        <v>146.6</v>
      </c>
      <c r="U239">
        <v>151</v>
      </c>
      <c r="V239">
        <v>449.29999999999995</v>
      </c>
      <c r="W239">
        <v>152.19999999999999</v>
      </c>
      <c r="X239">
        <v>146.9</v>
      </c>
      <c r="Y239">
        <v>150.30000000000001</v>
      </c>
      <c r="Z239">
        <f t="shared" si="10"/>
        <v>302.5</v>
      </c>
      <c r="AA239">
        <v>153.4</v>
      </c>
      <c r="AB239">
        <v>131.6</v>
      </c>
      <c r="AC239">
        <v>148.30000000000001</v>
      </c>
      <c r="AD239">
        <v>160.19999999999999</v>
      </c>
      <c r="AE239">
        <v>140.19999999999999</v>
      </c>
      <c r="AF239">
        <f t="shared" si="11"/>
        <v>293.60000000000002</v>
      </c>
      <c r="AG239">
        <v>145.4</v>
      </c>
      <c r="AH239">
        <v>146.69999999999999</v>
      </c>
    </row>
    <row r="240" spans="1:34" x14ac:dyDescent="0.35">
      <c r="A240" t="s">
        <v>30</v>
      </c>
      <c r="B240">
        <v>2019</v>
      </c>
      <c r="C240" t="s">
        <v>39</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f t="shared" si="9"/>
        <v>1874.9</v>
      </c>
      <c r="R240">
        <v>168.6</v>
      </c>
      <c r="S240">
        <v>145.30000000000001</v>
      </c>
      <c r="T240">
        <v>132.19999999999999</v>
      </c>
      <c r="U240">
        <v>143.30000000000001</v>
      </c>
      <c r="V240">
        <v>420.8</v>
      </c>
      <c r="W240">
        <v>152.19999999999999</v>
      </c>
      <c r="X240">
        <v>126.6</v>
      </c>
      <c r="Y240">
        <v>138.30000000000001</v>
      </c>
      <c r="Z240">
        <f t="shared" si="10"/>
        <v>290.5</v>
      </c>
      <c r="AA240">
        <v>141.9</v>
      </c>
      <c r="AB240">
        <v>121.2</v>
      </c>
      <c r="AC240">
        <v>135.9</v>
      </c>
      <c r="AD240">
        <v>151.6</v>
      </c>
      <c r="AE240">
        <v>139</v>
      </c>
      <c r="AF240">
        <f t="shared" si="11"/>
        <v>280.89999999999998</v>
      </c>
      <c r="AG240">
        <v>135.69999999999999</v>
      </c>
      <c r="AH240">
        <v>144.69999999999999</v>
      </c>
    </row>
    <row r="241" spans="1:34" x14ac:dyDescent="0.35">
      <c r="A241" t="s">
        <v>31</v>
      </c>
      <c r="B241">
        <v>2019</v>
      </c>
      <c r="C241" t="s">
        <v>39</v>
      </c>
      <c r="D241">
        <v>140.9</v>
      </c>
      <c r="E241">
        <v>160.80000000000001</v>
      </c>
      <c r="F241">
        <v>139.6</v>
      </c>
      <c r="G241">
        <v>145.4</v>
      </c>
      <c r="H241">
        <v>123.5</v>
      </c>
      <c r="I241">
        <v>146.6</v>
      </c>
      <c r="J241">
        <v>173.2</v>
      </c>
      <c r="K241">
        <v>131.6</v>
      </c>
      <c r="L241">
        <v>113.2</v>
      </c>
      <c r="M241">
        <v>144.1</v>
      </c>
      <c r="N241">
        <v>135</v>
      </c>
      <c r="O241">
        <v>156.80000000000001</v>
      </c>
      <c r="P241">
        <v>147</v>
      </c>
      <c r="Q241">
        <f t="shared" si="9"/>
        <v>1857.6999999999998</v>
      </c>
      <c r="R241">
        <v>166.5</v>
      </c>
      <c r="S241">
        <v>149.19999999999999</v>
      </c>
      <c r="T241">
        <v>140.6</v>
      </c>
      <c r="U241">
        <v>147.9</v>
      </c>
      <c r="V241">
        <v>437.69999999999993</v>
      </c>
      <c r="W241">
        <v>152.19999999999999</v>
      </c>
      <c r="X241">
        <v>139.19999999999999</v>
      </c>
      <c r="Y241">
        <v>144.6</v>
      </c>
      <c r="Z241">
        <f t="shared" si="10"/>
        <v>296.79999999999995</v>
      </c>
      <c r="AA241">
        <v>149</v>
      </c>
      <c r="AB241">
        <v>126.1</v>
      </c>
      <c r="AC241">
        <v>141.30000000000001</v>
      </c>
      <c r="AD241">
        <v>155.19999999999999</v>
      </c>
      <c r="AE241">
        <v>139.69999999999999</v>
      </c>
      <c r="AF241">
        <f t="shared" si="11"/>
        <v>288.7</v>
      </c>
      <c r="AG241">
        <v>140.69999999999999</v>
      </c>
      <c r="AH241">
        <v>145.80000000000001</v>
      </c>
    </row>
    <row r="242" spans="1:34" x14ac:dyDescent="0.35">
      <c r="A242" t="s">
        <v>28</v>
      </c>
      <c r="B242">
        <v>2019</v>
      </c>
      <c r="C242" t="s">
        <v>40</v>
      </c>
      <c r="D242">
        <v>141</v>
      </c>
      <c r="E242">
        <v>161.6</v>
      </c>
      <c r="F242">
        <v>141.19999999999999</v>
      </c>
      <c r="G242">
        <v>146.5</v>
      </c>
      <c r="H242">
        <v>125.6</v>
      </c>
      <c r="I242">
        <v>145.69999999999999</v>
      </c>
      <c r="J242">
        <v>178.8</v>
      </c>
      <c r="K242">
        <v>133.1</v>
      </c>
      <c r="L242">
        <v>113.6</v>
      </c>
      <c r="M242">
        <v>145.5</v>
      </c>
      <c r="N242">
        <v>138.6</v>
      </c>
      <c r="O242">
        <v>157.4</v>
      </c>
      <c r="P242">
        <v>148.30000000000001</v>
      </c>
      <c r="Q242">
        <f t="shared" si="9"/>
        <v>1876.8999999999996</v>
      </c>
      <c r="R242">
        <v>166.3</v>
      </c>
      <c r="S242">
        <v>151.69999999999999</v>
      </c>
      <c r="T242">
        <v>146.69999999999999</v>
      </c>
      <c r="U242">
        <v>151</v>
      </c>
      <c r="V242">
        <v>449.4</v>
      </c>
      <c r="W242">
        <v>153</v>
      </c>
      <c r="X242">
        <v>147.69999999999999</v>
      </c>
      <c r="Y242">
        <v>150.6</v>
      </c>
      <c r="Z242">
        <f t="shared" si="10"/>
        <v>303.60000000000002</v>
      </c>
      <c r="AA242">
        <v>153.69999999999999</v>
      </c>
      <c r="AB242">
        <v>131.69999999999999</v>
      </c>
      <c r="AC242">
        <v>148.69999999999999</v>
      </c>
      <c r="AD242">
        <v>160.69999999999999</v>
      </c>
      <c r="AE242">
        <v>140.30000000000001</v>
      </c>
      <c r="AF242">
        <f t="shared" si="11"/>
        <v>294</v>
      </c>
      <c r="AG242">
        <v>145.69999999999999</v>
      </c>
      <c r="AH242">
        <v>148.30000000000001</v>
      </c>
    </row>
    <row r="243" spans="1:34" x14ac:dyDescent="0.35">
      <c r="A243" t="s">
        <v>30</v>
      </c>
      <c r="B243">
        <v>2019</v>
      </c>
      <c r="C243" t="s">
        <v>40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f t="shared" si="9"/>
        <v>1902.6000000000001</v>
      </c>
      <c r="R243">
        <v>169.3</v>
      </c>
      <c r="S243">
        <v>145.9</v>
      </c>
      <c r="T243">
        <v>132.4</v>
      </c>
      <c r="U243">
        <v>143.9</v>
      </c>
      <c r="V243">
        <v>422.20000000000005</v>
      </c>
      <c r="W243">
        <v>153</v>
      </c>
      <c r="X243">
        <v>128.9</v>
      </c>
      <c r="Y243">
        <v>138.69999999999999</v>
      </c>
      <c r="Z243">
        <f t="shared" si="10"/>
        <v>291.7</v>
      </c>
      <c r="AA243">
        <v>142.4</v>
      </c>
      <c r="AB243">
        <v>121.5</v>
      </c>
      <c r="AC243">
        <v>136.19999999999999</v>
      </c>
      <c r="AD243">
        <v>151.69999999999999</v>
      </c>
      <c r="AE243">
        <v>139.5</v>
      </c>
      <c r="AF243">
        <f t="shared" si="11"/>
        <v>281.89999999999998</v>
      </c>
      <c r="AG243">
        <v>136</v>
      </c>
      <c r="AH243">
        <v>146</v>
      </c>
    </row>
    <row r="244" spans="1:34" x14ac:dyDescent="0.35">
      <c r="A244" t="s">
        <v>31</v>
      </c>
      <c r="B244">
        <v>2019</v>
      </c>
      <c r="C244" t="s">
        <v>40</v>
      </c>
      <c r="D244">
        <v>141.80000000000001</v>
      </c>
      <c r="E244">
        <v>161</v>
      </c>
      <c r="F244">
        <v>142.6</v>
      </c>
      <c r="G244">
        <v>146.19999999999999</v>
      </c>
      <c r="H244">
        <v>123.9</v>
      </c>
      <c r="I244">
        <v>148</v>
      </c>
      <c r="J244">
        <v>188.4</v>
      </c>
      <c r="K244">
        <v>132.5</v>
      </c>
      <c r="L244">
        <v>114</v>
      </c>
      <c r="M244">
        <v>145.4</v>
      </c>
      <c r="N244">
        <v>135.1</v>
      </c>
      <c r="O244">
        <v>157.1</v>
      </c>
      <c r="P244">
        <v>149.6</v>
      </c>
      <c r="Q244">
        <f t="shared" si="9"/>
        <v>1885.5999999999997</v>
      </c>
      <c r="R244">
        <v>167.1</v>
      </c>
      <c r="S244">
        <v>149.4</v>
      </c>
      <c r="T244">
        <v>140.80000000000001</v>
      </c>
      <c r="U244">
        <v>148.19999999999999</v>
      </c>
      <c r="V244">
        <v>438.40000000000003</v>
      </c>
      <c r="W244">
        <v>153</v>
      </c>
      <c r="X244">
        <v>140.6</v>
      </c>
      <c r="Y244">
        <v>145</v>
      </c>
      <c r="Z244">
        <f t="shared" si="10"/>
        <v>298</v>
      </c>
      <c r="AA244">
        <v>149.4</v>
      </c>
      <c r="AB244">
        <v>126.3</v>
      </c>
      <c r="AC244">
        <v>141.69999999999999</v>
      </c>
      <c r="AD244">
        <v>155.4</v>
      </c>
      <c r="AE244">
        <v>140</v>
      </c>
      <c r="AF244">
        <f t="shared" si="11"/>
        <v>289.39999999999998</v>
      </c>
      <c r="AG244">
        <v>141</v>
      </c>
      <c r="AH244">
        <v>147.19999999999999</v>
      </c>
    </row>
    <row r="245" spans="1:34" x14ac:dyDescent="0.35">
      <c r="A245" t="s">
        <v>28</v>
      </c>
      <c r="B245">
        <v>2019</v>
      </c>
      <c r="C245" t="s">
        <v>42</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f t="shared" si="9"/>
        <v>1904.6000000000001</v>
      </c>
      <c r="R245">
        <v>167.2</v>
      </c>
      <c r="S245">
        <v>152.30000000000001</v>
      </c>
      <c r="T245">
        <v>147</v>
      </c>
      <c r="U245">
        <v>151.5</v>
      </c>
      <c r="V245">
        <v>450.8</v>
      </c>
      <c r="W245">
        <v>153.5</v>
      </c>
      <c r="X245">
        <v>148.4</v>
      </c>
      <c r="Y245">
        <v>150.9</v>
      </c>
      <c r="Z245">
        <f t="shared" si="10"/>
        <v>304.39999999999998</v>
      </c>
      <c r="AA245">
        <v>154.30000000000001</v>
      </c>
      <c r="AB245">
        <v>132.1</v>
      </c>
      <c r="AC245">
        <v>149.1</v>
      </c>
      <c r="AD245">
        <v>160.80000000000001</v>
      </c>
      <c r="AE245">
        <v>140.6</v>
      </c>
      <c r="AF245">
        <f t="shared" si="11"/>
        <v>294.89999999999998</v>
      </c>
      <c r="AG245">
        <v>146.1</v>
      </c>
      <c r="AH245">
        <v>149.9</v>
      </c>
    </row>
    <row r="246" spans="1:34" x14ac:dyDescent="0.35">
      <c r="A246" t="s">
        <v>30</v>
      </c>
      <c r="B246">
        <v>2019</v>
      </c>
      <c r="C246" t="s">
        <v>42</v>
      </c>
      <c r="D246">
        <v>144.1</v>
      </c>
      <c r="E246">
        <v>162.4</v>
      </c>
      <c r="F246">
        <v>148.4</v>
      </c>
      <c r="G246">
        <v>145.9</v>
      </c>
      <c r="H246">
        <v>121.5</v>
      </c>
      <c r="I246">
        <v>148.80000000000001</v>
      </c>
      <c r="J246">
        <v>215.7</v>
      </c>
      <c r="K246">
        <v>134.6</v>
      </c>
      <c r="L246">
        <v>115</v>
      </c>
      <c r="M246">
        <v>146.30000000000001</v>
      </c>
      <c r="N246">
        <v>130.5</v>
      </c>
      <c r="O246">
        <v>157.19999999999999</v>
      </c>
      <c r="P246">
        <v>153.6</v>
      </c>
      <c r="Q246">
        <f t="shared" si="9"/>
        <v>1923.9999999999998</v>
      </c>
      <c r="R246">
        <v>169.9</v>
      </c>
      <c r="S246">
        <v>146.30000000000001</v>
      </c>
      <c r="T246">
        <v>132.6</v>
      </c>
      <c r="U246">
        <v>144.19999999999999</v>
      </c>
      <c r="V246">
        <v>423.09999999999997</v>
      </c>
      <c r="W246">
        <v>153.5</v>
      </c>
      <c r="X246">
        <v>132.19999999999999</v>
      </c>
      <c r="Y246">
        <v>139.1</v>
      </c>
      <c r="Z246">
        <f t="shared" si="10"/>
        <v>292.60000000000002</v>
      </c>
      <c r="AA246">
        <v>142.80000000000001</v>
      </c>
      <c r="AB246">
        <v>121.7</v>
      </c>
      <c r="AC246">
        <v>136.69999999999999</v>
      </c>
      <c r="AD246">
        <v>151.80000000000001</v>
      </c>
      <c r="AE246">
        <v>139.80000000000001</v>
      </c>
      <c r="AF246">
        <f t="shared" si="11"/>
        <v>282.60000000000002</v>
      </c>
      <c r="AG246">
        <v>136.30000000000001</v>
      </c>
      <c r="AH246">
        <v>147</v>
      </c>
    </row>
    <row r="247" spans="1:34" x14ac:dyDescent="0.35">
      <c r="A247" t="s">
        <v>31</v>
      </c>
      <c r="B247">
        <v>2019</v>
      </c>
      <c r="C247" t="s">
        <v>42</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f t="shared" si="9"/>
        <v>1910.9</v>
      </c>
      <c r="R247">
        <v>167.9</v>
      </c>
      <c r="S247">
        <v>149.9</v>
      </c>
      <c r="T247">
        <v>141</v>
      </c>
      <c r="U247">
        <v>148.6</v>
      </c>
      <c r="V247">
        <v>439.5</v>
      </c>
      <c r="W247">
        <v>153.5</v>
      </c>
      <c r="X247">
        <v>142.30000000000001</v>
      </c>
      <c r="Y247">
        <v>145.30000000000001</v>
      </c>
      <c r="Z247">
        <f t="shared" si="10"/>
        <v>298.8</v>
      </c>
      <c r="AA247">
        <v>149.9</v>
      </c>
      <c r="AB247">
        <v>126.6</v>
      </c>
      <c r="AC247">
        <v>142.1</v>
      </c>
      <c r="AD247">
        <v>155.5</v>
      </c>
      <c r="AE247">
        <v>140.30000000000001</v>
      </c>
      <c r="AF247">
        <f t="shared" si="11"/>
        <v>290.20000000000005</v>
      </c>
      <c r="AG247">
        <v>141.30000000000001</v>
      </c>
      <c r="AH247">
        <v>148.6</v>
      </c>
    </row>
    <row r="248" spans="1:34" x14ac:dyDescent="0.35">
      <c r="A248" t="s">
        <v>28</v>
      </c>
      <c r="B248">
        <v>2019</v>
      </c>
      <c r="C248" t="s">
        <v>43</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f t="shared" si="9"/>
        <v>1940.9999999999995</v>
      </c>
      <c r="R248">
        <v>167.8</v>
      </c>
      <c r="S248">
        <v>152.6</v>
      </c>
      <c r="T248">
        <v>147.30000000000001</v>
      </c>
      <c r="U248">
        <v>151.9</v>
      </c>
      <c r="V248">
        <v>451.79999999999995</v>
      </c>
      <c r="W248">
        <v>152.80000000000001</v>
      </c>
      <c r="X248">
        <v>149.9</v>
      </c>
      <c r="Y248">
        <v>151.19999999999999</v>
      </c>
      <c r="Z248">
        <f t="shared" si="10"/>
        <v>304</v>
      </c>
      <c r="AA248">
        <v>154.80000000000001</v>
      </c>
      <c r="AB248">
        <v>135</v>
      </c>
      <c r="AC248">
        <v>149.5</v>
      </c>
      <c r="AD248">
        <v>161.1</v>
      </c>
      <c r="AE248">
        <v>140.6</v>
      </c>
      <c r="AF248">
        <f t="shared" si="11"/>
        <v>295.39999999999998</v>
      </c>
      <c r="AG248">
        <v>147.1</v>
      </c>
      <c r="AH248">
        <v>152.30000000000001</v>
      </c>
    </row>
    <row r="249" spans="1:34" x14ac:dyDescent="0.35">
      <c r="A249" t="s">
        <v>30</v>
      </c>
      <c r="B249">
        <v>2019</v>
      </c>
      <c r="C249" t="s">
        <v>43</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f t="shared" si="9"/>
        <v>1956.7</v>
      </c>
      <c r="R249">
        <v>170.4</v>
      </c>
      <c r="S249">
        <v>146.80000000000001</v>
      </c>
      <c r="T249">
        <v>132.80000000000001</v>
      </c>
      <c r="U249">
        <v>144.6</v>
      </c>
      <c r="V249">
        <v>424.20000000000005</v>
      </c>
      <c r="W249">
        <v>152.80000000000001</v>
      </c>
      <c r="X249">
        <v>133.6</v>
      </c>
      <c r="Y249">
        <v>139.80000000000001</v>
      </c>
      <c r="Z249">
        <f t="shared" si="10"/>
        <v>292.60000000000002</v>
      </c>
      <c r="AA249">
        <v>143.19999999999999</v>
      </c>
      <c r="AB249">
        <v>125.2</v>
      </c>
      <c r="AC249">
        <v>136.80000000000001</v>
      </c>
      <c r="AD249">
        <v>151.9</v>
      </c>
      <c r="AE249">
        <v>140.19999999999999</v>
      </c>
      <c r="AF249">
        <f t="shared" si="11"/>
        <v>283.39999999999998</v>
      </c>
      <c r="AG249">
        <v>137.69999999999999</v>
      </c>
      <c r="AH249">
        <v>148.30000000000001</v>
      </c>
    </row>
    <row r="250" spans="1:34" x14ac:dyDescent="0.35">
      <c r="A250" t="s">
        <v>31</v>
      </c>
      <c r="B250">
        <v>2019</v>
      </c>
      <c r="C250" t="s">
        <v>43</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f t="shared" si="9"/>
        <v>1946.1000000000001</v>
      </c>
      <c r="R250">
        <v>168.5</v>
      </c>
      <c r="S250">
        <v>150.30000000000001</v>
      </c>
      <c r="T250">
        <v>141.30000000000001</v>
      </c>
      <c r="U250">
        <v>149</v>
      </c>
      <c r="V250">
        <v>440.6</v>
      </c>
      <c r="W250">
        <v>152.80000000000001</v>
      </c>
      <c r="X250">
        <v>143.69999999999999</v>
      </c>
      <c r="Y250">
        <v>145.80000000000001</v>
      </c>
      <c r="Z250">
        <f t="shared" si="10"/>
        <v>298.60000000000002</v>
      </c>
      <c r="AA250">
        <v>150.4</v>
      </c>
      <c r="AB250">
        <v>129.80000000000001</v>
      </c>
      <c r="AC250">
        <v>142.30000000000001</v>
      </c>
      <c r="AD250">
        <v>155.69999999999999</v>
      </c>
      <c r="AE250">
        <v>140.4</v>
      </c>
      <c r="AF250">
        <f t="shared" si="11"/>
        <v>290.8</v>
      </c>
      <c r="AG250">
        <v>142.5</v>
      </c>
      <c r="AH250">
        <v>150.4</v>
      </c>
    </row>
    <row r="251" spans="1:34" x14ac:dyDescent="0.35">
      <c r="A251" t="s">
        <v>28</v>
      </c>
      <c r="B251">
        <v>2020</v>
      </c>
      <c r="C251" t="s">
        <v>29</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f t="shared" si="9"/>
        <v>1938.6</v>
      </c>
      <c r="R251">
        <v>168.6</v>
      </c>
      <c r="S251">
        <v>152.80000000000001</v>
      </c>
      <c r="T251">
        <v>147.4</v>
      </c>
      <c r="U251">
        <v>152.1</v>
      </c>
      <c r="V251">
        <v>452.30000000000007</v>
      </c>
      <c r="W251">
        <v>153.9</v>
      </c>
      <c r="X251">
        <v>150.4</v>
      </c>
      <c r="Y251">
        <v>151.69999999999999</v>
      </c>
      <c r="Z251">
        <f t="shared" si="10"/>
        <v>305.60000000000002</v>
      </c>
      <c r="AA251">
        <v>155.69999999999999</v>
      </c>
      <c r="AB251">
        <v>136.30000000000001</v>
      </c>
      <c r="AC251">
        <v>150.1</v>
      </c>
      <c r="AD251">
        <v>161.69999999999999</v>
      </c>
      <c r="AE251">
        <v>142.5</v>
      </c>
      <c r="AF251">
        <f t="shared" si="11"/>
        <v>298.2</v>
      </c>
      <c r="AG251">
        <v>148.1</v>
      </c>
      <c r="AH251">
        <v>151.9</v>
      </c>
    </row>
    <row r="252" spans="1:34" x14ac:dyDescent="0.35">
      <c r="A252" t="s">
        <v>30</v>
      </c>
      <c r="B252">
        <v>2020</v>
      </c>
      <c r="C252" t="s">
        <v>29</v>
      </c>
      <c r="D252">
        <v>145.6</v>
      </c>
      <c r="E252">
        <v>167.6</v>
      </c>
      <c r="F252">
        <v>157</v>
      </c>
      <c r="G252">
        <v>149.30000000000001</v>
      </c>
      <c r="H252">
        <v>126.3</v>
      </c>
      <c r="I252">
        <v>144.4</v>
      </c>
      <c r="J252">
        <v>207.8</v>
      </c>
      <c r="K252">
        <v>139.1</v>
      </c>
      <c r="L252">
        <v>114.8</v>
      </c>
      <c r="M252">
        <v>149.5</v>
      </c>
      <c r="N252">
        <v>131.1</v>
      </c>
      <c r="O252">
        <v>158.5</v>
      </c>
      <c r="P252">
        <v>154.4</v>
      </c>
      <c r="Q252">
        <f t="shared" si="9"/>
        <v>1945.3999999999999</v>
      </c>
      <c r="R252">
        <v>170.8</v>
      </c>
      <c r="S252">
        <v>147</v>
      </c>
      <c r="T252">
        <v>133.19999999999999</v>
      </c>
      <c r="U252">
        <v>144.9</v>
      </c>
      <c r="V252">
        <v>425.1</v>
      </c>
      <c r="W252">
        <v>153.9</v>
      </c>
      <c r="X252">
        <v>135.1</v>
      </c>
      <c r="Y252">
        <v>140.1</v>
      </c>
      <c r="Z252">
        <f t="shared" si="10"/>
        <v>294</v>
      </c>
      <c r="AA252">
        <v>143.80000000000001</v>
      </c>
      <c r="AB252">
        <v>126.1</v>
      </c>
      <c r="AC252">
        <v>137.19999999999999</v>
      </c>
      <c r="AD252">
        <v>152.1</v>
      </c>
      <c r="AE252">
        <v>142.1</v>
      </c>
      <c r="AF252">
        <f t="shared" si="11"/>
        <v>285.89999999999998</v>
      </c>
      <c r="AG252">
        <v>138.4</v>
      </c>
      <c r="AH252">
        <v>148.19999999999999</v>
      </c>
    </row>
    <row r="253" spans="1:34" x14ac:dyDescent="0.35">
      <c r="A253" t="s">
        <v>31</v>
      </c>
      <c r="B253">
        <v>2020</v>
      </c>
      <c r="C253" t="s">
        <v>29</v>
      </c>
      <c r="D253">
        <v>144.30000000000001</v>
      </c>
      <c r="E253">
        <v>167.4</v>
      </c>
      <c r="F253">
        <v>154.9</v>
      </c>
      <c r="G253">
        <v>150.1</v>
      </c>
      <c r="H253">
        <v>129.9</v>
      </c>
      <c r="I253">
        <v>143.19999999999999</v>
      </c>
      <c r="J253">
        <v>197</v>
      </c>
      <c r="K253">
        <v>140.4</v>
      </c>
      <c r="L253">
        <v>114.1</v>
      </c>
      <c r="M253">
        <v>150.9</v>
      </c>
      <c r="N253">
        <v>136.1</v>
      </c>
      <c r="O253">
        <v>158.6</v>
      </c>
      <c r="P253">
        <v>153.5</v>
      </c>
      <c r="Q253">
        <f t="shared" si="9"/>
        <v>1940.3999999999999</v>
      </c>
      <c r="R253">
        <v>169.2</v>
      </c>
      <c r="S253">
        <v>150.5</v>
      </c>
      <c r="T253">
        <v>141.5</v>
      </c>
      <c r="U253">
        <v>149.19999999999999</v>
      </c>
      <c r="V253">
        <v>441.2</v>
      </c>
      <c r="W253">
        <v>153.9</v>
      </c>
      <c r="X253">
        <v>144.6</v>
      </c>
      <c r="Y253">
        <v>146.19999999999999</v>
      </c>
      <c r="Z253">
        <f t="shared" si="10"/>
        <v>300.10000000000002</v>
      </c>
      <c r="AA253">
        <v>151.19999999999999</v>
      </c>
      <c r="AB253">
        <v>130.9</v>
      </c>
      <c r="AC253">
        <v>142.80000000000001</v>
      </c>
      <c r="AD253">
        <v>156.1</v>
      </c>
      <c r="AE253">
        <v>142.30000000000001</v>
      </c>
      <c r="AF253">
        <f t="shared" si="11"/>
        <v>293.5</v>
      </c>
      <c r="AG253">
        <v>143.4</v>
      </c>
      <c r="AH253">
        <v>150.19999999999999</v>
      </c>
    </row>
    <row r="254" spans="1:34" x14ac:dyDescent="0.35">
      <c r="A254" t="s">
        <v>28</v>
      </c>
      <c r="B254">
        <v>2020</v>
      </c>
      <c r="C254" t="s">
        <v>32</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f t="shared" si="9"/>
        <v>1909.7999999999997</v>
      </c>
      <c r="R254">
        <v>169.4</v>
      </c>
      <c r="S254">
        <v>153</v>
      </c>
      <c r="T254">
        <v>147.5</v>
      </c>
      <c r="U254">
        <v>152.30000000000001</v>
      </c>
      <c r="V254">
        <v>452.8</v>
      </c>
      <c r="W254">
        <v>154.80000000000001</v>
      </c>
      <c r="X254">
        <v>152.30000000000001</v>
      </c>
      <c r="Y254">
        <v>151.80000000000001</v>
      </c>
      <c r="Z254">
        <f t="shared" si="10"/>
        <v>306.60000000000002</v>
      </c>
      <c r="AA254">
        <v>156.19999999999999</v>
      </c>
      <c r="AB254">
        <v>136</v>
      </c>
      <c r="AC254">
        <v>150.4</v>
      </c>
      <c r="AD254">
        <v>161.9</v>
      </c>
      <c r="AE254">
        <v>143.4</v>
      </c>
      <c r="AF254">
        <f t="shared" si="11"/>
        <v>299.60000000000002</v>
      </c>
      <c r="AG254">
        <v>148.4</v>
      </c>
      <c r="AH254">
        <v>150.4</v>
      </c>
    </row>
    <row r="255" spans="1:34" x14ac:dyDescent="0.35">
      <c r="A255" t="s">
        <v>30</v>
      </c>
      <c r="B255">
        <v>2020</v>
      </c>
      <c r="C255" t="s">
        <v>32</v>
      </c>
      <c r="D255">
        <v>146.19999999999999</v>
      </c>
      <c r="E255">
        <v>167.6</v>
      </c>
      <c r="F255">
        <v>153.1</v>
      </c>
      <c r="G255">
        <v>150.69999999999999</v>
      </c>
      <c r="H255">
        <v>127.4</v>
      </c>
      <c r="I255">
        <v>143.1</v>
      </c>
      <c r="J255">
        <v>181.7</v>
      </c>
      <c r="K255">
        <v>139.6</v>
      </c>
      <c r="L255">
        <v>114.6</v>
      </c>
      <c r="M255">
        <v>150.4</v>
      </c>
      <c r="N255">
        <v>131.5</v>
      </c>
      <c r="O255">
        <v>159</v>
      </c>
      <c r="P255">
        <v>151.69999999999999</v>
      </c>
      <c r="Q255">
        <f t="shared" si="9"/>
        <v>1916.6</v>
      </c>
      <c r="R255">
        <v>172</v>
      </c>
      <c r="S255">
        <v>147.30000000000001</v>
      </c>
      <c r="T255">
        <v>133.5</v>
      </c>
      <c r="U255">
        <v>145.19999999999999</v>
      </c>
      <c r="V255">
        <v>426</v>
      </c>
      <c r="W255">
        <v>154.80000000000001</v>
      </c>
      <c r="X255">
        <v>138.9</v>
      </c>
      <c r="Y255">
        <v>140.4</v>
      </c>
      <c r="Z255">
        <f t="shared" si="10"/>
        <v>295.20000000000005</v>
      </c>
      <c r="AA255">
        <v>144.4</v>
      </c>
      <c r="AB255">
        <v>125.2</v>
      </c>
      <c r="AC255">
        <v>137.69999999999999</v>
      </c>
      <c r="AD255">
        <v>152.19999999999999</v>
      </c>
      <c r="AE255">
        <v>143.5</v>
      </c>
      <c r="AF255">
        <f t="shared" si="11"/>
        <v>287.89999999999998</v>
      </c>
      <c r="AG255">
        <v>138.4</v>
      </c>
      <c r="AH255">
        <v>147.69999999999999</v>
      </c>
    </row>
    <row r="256" spans="1:34" x14ac:dyDescent="0.35">
      <c r="A256" t="s">
        <v>31</v>
      </c>
      <c r="B256">
        <v>2020</v>
      </c>
      <c r="C256" t="s">
        <v>32</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f t="shared" si="9"/>
        <v>1911.6</v>
      </c>
      <c r="R256">
        <v>170.1</v>
      </c>
      <c r="S256">
        <v>150.80000000000001</v>
      </c>
      <c r="T256">
        <v>141.69999999999999</v>
      </c>
      <c r="U256">
        <v>149.5</v>
      </c>
      <c r="V256">
        <v>442</v>
      </c>
      <c r="W256">
        <v>154.80000000000001</v>
      </c>
      <c r="X256">
        <v>147.19999999999999</v>
      </c>
      <c r="Y256">
        <v>146.4</v>
      </c>
      <c r="Z256">
        <f t="shared" si="10"/>
        <v>301.20000000000005</v>
      </c>
      <c r="AA256">
        <v>151.69999999999999</v>
      </c>
      <c r="AB256">
        <v>130.30000000000001</v>
      </c>
      <c r="AC256">
        <v>143.19999999999999</v>
      </c>
      <c r="AD256">
        <v>156.19999999999999</v>
      </c>
      <c r="AE256">
        <v>143.4</v>
      </c>
      <c r="AF256">
        <f t="shared" si="11"/>
        <v>295.10000000000002</v>
      </c>
      <c r="AG256">
        <v>143.6</v>
      </c>
      <c r="AH256">
        <v>149.1</v>
      </c>
    </row>
    <row r="257" spans="1:34" x14ac:dyDescent="0.35">
      <c r="A257" t="s">
        <v>28</v>
      </c>
      <c r="B257">
        <v>2020</v>
      </c>
      <c r="C257" t="s">
        <v>33</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f t="shared" si="9"/>
        <v>1894.5999999999997</v>
      </c>
      <c r="R257">
        <v>170.5</v>
      </c>
      <c r="S257">
        <v>153.4</v>
      </c>
      <c r="T257">
        <v>147.6</v>
      </c>
      <c r="U257">
        <v>152.5</v>
      </c>
      <c r="V257">
        <v>453.5</v>
      </c>
      <c r="W257">
        <v>154.5</v>
      </c>
      <c r="X257">
        <v>153.4</v>
      </c>
      <c r="Y257">
        <v>151.5</v>
      </c>
      <c r="Z257">
        <f t="shared" si="10"/>
        <v>306</v>
      </c>
      <c r="AA257">
        <v>156.69999999999999</v>
      </c>
      <c r="AB257">
        <v>135.80000000000001</v>
      </c>
      <c r="AC257">
        <v>151.19999999999999</v>
      </c>
      <c r="AD257">
        <v>161.19999999999999</v>
      </c>
      <c r="AE257">
        <v>145.1</v>
      </c>
      <c r="AF257">
        <f t="shared" si="11"/>
        <v>301.79999999999995</v>
      </c>
      <c r="AG257">
        <v>148.6</v>
      </c>
      <c r="AH257">
        <v>149.80000000000001</v>
      </c>
    </row>
    <row r="258" spans="1:34" x14ac:dyDescent="0.35">
      <c r="A258" t="s">
        <v>30</v>
      </c>
      <c r="B258">
        <v>2020</v>
      </c>
      <c r="C258" t="s">
        <v>33</v>
      </c>
      <c r="D258">
        <v>146.5</v>
      </c>
      <c r="E258">
        <v>167.5</v>
      </c>
      <c r="F258">
        <v>148.9</v>
      </c>
      <c r="G258">
        <v>151.1</v>
      </c>
      <c r="H258">
        <v>127.5</v>
      </c>
      <c r="I258">
        <v>143.30000000000001</v>
      </c>
      <c r="J258">
        <v>167</v>
      </c>
      <c r="K258">
        <v>139.69999999999999</v>
      </c>
      <c r="L258">
        <v>114.4</v>
      </c>
      <c r="M258">
        <v>151.5</v>
      </c>
      <c r="N258">
        <v>131.9</v>
      </c>
      <c r="O258">
        <v>159.1</v>
      </c>
      <c r="P258">
        <v>150.1</v>
      </c>
      <c r="Q258">
        <f t="shared" si="9"/>
        <v>1898.5</v>
      </c>
      <c r="R258">
        <v>173.3</v>
      </c>
      <c r="S258">
        <v>147.69999999999999</v>
      </c>
      <c r="T258">
        <v>133.80000000000001</v>
      </c>
      <c r="U258">
        <v>145.6</v>
      </c>
      <c r="V258">
        <v>427.1</v>
      </c>
      <c r="W258">
        <v>154.5</v>
      </c>
      <c r="X258">
        <v>141.4</v>
      </c>
      <c r="Y258">
        <v>140.80000000000001</v>
      </c>
      <c r="Z258">
        <f t="shared" si="10"/>
        <v>295.3</v>
      </c>
      <c r="AA258">
        <v>145</v>
      </c>
      <c r="AB258">
        <v>124.6</v>
      </c>
      <c r="AC258">
        <v>137.9</v>
      </c>
      <c r="AD258">
        <v>152.5</v>
      </c>
      <c r="AE258">
        <v>145.30000000000001</v>
      </c>
      <c r="AF258">
        <f t="shared" si="11"/>
        <v>290.3</v>
      </c>
      <c r="AG258">
        <v>138.69999999999999</v>
      </c>
      <c r="AH258">
        <v>147.30000000000001</v>
      </c>
    </row>
    <row r="259" spans="1:34" x14ac:dyDescent="0.35">
      <c r="A259" t="s">
        <v>31</v>
      </c>
      <c r="B259">
        <v>2020</v>
      </c>
      <c r="C259" t="s">
        <v>33</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f t="shared" ref="Q259:Q322" si="12">SUM(D259:P259)</f>
        <v>1895.4</v>
      </c>
      <c r="R259">
        <v>171.2</v>
      </c>
      <c r="S259">
        <v>151.19999999999999</v>
      </c>
      <c r="T259">
        <v>141.9</v>
      </c>
      <c r="U259">
        <v>149.80000000000001</v>
      </c>
      <c r="V259">
        <v>442.90000000000003</v>
      </c>
      <c r="W259">
        <v>154.5</v>
      </c>
      <c r="X259">
        <v>148.9</v>
      </c>
      <c r="Y259">
        <v>146.4</v>
      </c>
      <c r="Z259">
        <f t="shared" ref="Z259:Z322" si="13">W259+Y259</f>
        <v>300.89999999999998</v>
      </c>
      <c r="AA259">
        <v>152.30000000000001</v>
      </c>
      <c r="AB259">
        <v>129.9</v>
      </c>
      <c r="AC259">
        <v>143.69999999999999</v>
      </c>
      <c r="AD259">
        <v>156.1</v>
      </c>
      <c r="AE259">
        <v>145.19999999999999</v>
      </c>
      <c r="AF259">
        <f t="shared" ref="AF259:AF322" si="14">AA259+AE259</f>
        <v>297.5</v>
      </c>
      <c r="AG259">
        <v>143.80000000000001</v>
      </c>
      <c r="AH259">
        <v>148.6</v>
      </c>
    </row>
    <row r="260" spans="1:34" x14ac:dyDescent="0.35">
      <c r="A260" t="s">
        <v>28</v>
      </c>
      <c r="B260">
        <v>2020</v>
      </c>
      <c r="C260" t="s">
        <v>34</v>
      </c>
      <c r="D260">
        <v>147.19999999999999</v>
      </c>
      <c r="E260">
        <v>167.31666666666669</v>
      </c>
      <c r="F260">
        <v>146.9</v>
      </c>
      <c r="G260">
        <v>155.6</v>
      </c>
      <c r="H260">
        <v>137.1</v>
      </c>
      <c r="I260">
        <v>147.30000000000001</v>
      </c>
      <c r="J260">
        <v>162.69999999999999</v>
      </c>
      <c r="K260">
        <v>150.19999999999999</v>
      </c>
      <c r="L260">
        <v>119.8</v>
      </c>
      <c r="M260">
        <v>158.69999999999999</v>
      </c>
      <c r="N260">
        <v>139.19999999999999</v>
      </c>
      <c r="O260">
        <v>159.33333333333334</v>
      </c>
      <c r="P260">
        <v>150.1</v>
      </c>
      <c r="Q260">
        <f t="shared" si="12"/>
        <v>1941.45</v>
      </c>
      <c r="R260">
        <v>171.08333333333334</v>
      </c>
      <c r="S260">
        <v>150.56666666666669</v>
      </c>
      <c r="T260">
        <v>140.99999999999997</v>
      </c>
      <c r="U260">
        <v>149.15</v>
      </c>
      <c r="V260">
        <v>440.7166666666667</v>
      </c>
      <c r="W260">
        <v>155.6</v>
      </c>
      <c r="X260">
        <v>148.4</v>
      </c>
      <c r="Y260">
        <v>146.21666666666667</v>
      </c>
      <c r="Z260">
        <f t="shared" si="13"/>
        <v>301.81666666666666</v>
      </c>
      <c r="AA260">
        <v>154.30000000000001</v>
      </c>
      <c r="AB260">
        <v>130.29999999999998</v>
      </c>
      <c r="AC260">
        <v>144.01666666666665</v>
      </c>
      <c r="AD260">
        <v>156.68333333333334</v>
      </c>
      <c r="AE260">
        <v>144.31666666666669</v>
      </c>
      <c r="AF260">
        <f t="shared" si="14"/>
        <v>298.61666666666667</v>
      </c>
      <c r="AG260">
        <v>143.58333333333334</v>
      </c>
      <c r="AH260">
        <v>148.81666666666666</v>
      </c>
    </row>
    <row r="261" spans="1:34" x14ac:dyDescent="0.35">
      <c r="A261" t="s">
        <v>30</v>
      </c>
      <c r="B261">
        <v>2020</v>
      </c>
      <c r="C261" t="s">
        <v>34</v>
      </c>
      <c r="D261">
        <v>151.80000000000001</v>
      </c>
      <c r="E261">
        <v>167.28000000000003</v>
      </c>
      <c r="F261">
        <v>151.9</v>
      </c>
      <c r="G261">
        <v>155.5</v>
      </c>
      <c r="H261">
        <v>131.6</v>
      </c>
      <c r="I261">
        <v>152.9</v>
      </c>
      <c r="J261">
        <v>180</v>
      </c>
      <c r="K261">
        <v>150.80000000000001</v>
      </c>
      <c r="L261">
        <v>121.2</v>
      </c>
      <c r="M261">
        <v>154</v>
      </c>
      <c r="N261">
        <v>133.5</v>
      </c>
      <c r="O261">
        <v>159.36000000000001</v>
      </c>
      <c r="P261">
        <v>153.5</v>
      </c>
      <c r="Q261">
        <f t="shared" si="12"/>
        <v>1963.3400000000001</v>
      </c>
      <c r="R261">
        <v>171.42000000000002</v>
      </c>
      <c r="S261">
        <v>150.08000000000001</v>
      </c>
      <c r="T261">
        <v>139.69999999999999</v>
      </c>
      <c r="U261">
        <v>148.51999999999998</v>
      </c>
      <c r="V261">
        <v>438.29999999999995</v>
      </c>
      <c r="W261">
        <v>155.6</v>
      </c>
      <c r="X261">
        <v>137.1</v>
      </c>
      <c r="Y261">
        <v>145.1</v>
      </c>
      <c r="Z261">
        <f t="shared" si="13"/>
        <v>300.7</v>
      </c>
      <c r="AA261">
        <v>144.80000000000001</v>
      </c>
      <c r="AB261">
        <v>129.16</v>
      </c>
      <c r="AC261">
        <v>142.74</v>
      </c>
      <c r="AD261">
        <v>155.63999999999999</v>
      </c>
      <c r="AE261">
        <v>144.5</v>
      </c>
      <c r="AF261">
        <f t="shared" si="14"/>
        <v>289.3</v>
      </c>
      <c r="AG261">
        <v>142.61999999999998</v>
      </c>
      <c r="AH261">
        <v>148.5</v>
      </c>
    </row>
    <row r="262" spans="1:34" x14ac:dyDescent="0.35">
      <c r="A262" t="s">
        <v>31</v>
      </c>
      <c r="B262">
        <v>2020</v>
      </c>
      <c r="C262" t="s">
        <v>34</v>
      </c>
      <c r="D262">
        <v>148.69999999999999</v>
      </c>
      <c r="E262">
        <v>167.2</v>
      </c>
      <c r="F262">
        <v>148.80000000000001</v>
      </c>
      <c r="G262">
        <v>155.6</v>
      </c>
      <c r="H262">
        <v>135.1</v>
      </c>
      <c r="I262">
        <v>149.9</v>
      </c>
      <c r="J262">
        <v>168.6</v>
      </c>
      <c r="K262">
        <v>150.4</v>
      </c>
      <c r="L262">
        <v>120.3</v>
      </c>
      <c r="M262">
        <v>157.1</v>
      </c>
      <c r="N262">
        <v>136.80000000000001</v>
      </c>
      <c r="O262">
        <v>159.45000000000002</v>
      </c>
      <c r="P262">
        <v>151.4</v>
      </c>
      <c r="Q262">
        <f t="shared" si="12"/>
        <v>1949.35</v>
      </c>
      <c r="R262">
        <v>171.27500000000003</v>
      </c>
      <c r="S262">
        <v>150.77500000000001</v>
      </c>
      <c r="T262">
        <v>141.25</v>
      </c>
      <c r="U262">
        <v>149.35000000000002</v>
      </c>
      <c r="V262">
        <v>441.375</v>
      </c>
      <c r="W262">
        <v>155.6</v>
      </c>
      <c r="X262">
        <v>144.1</v>
      </c>
      <c r="Y262">
        <v>146.27500000000001</v>
      </c>
      <c r="Z262">
        <f t="shared" si="13"/>
        <v>301.875</v>
      </c>
      <c r="AA262">
        <v>150.69999999999999</v>
      </c>
      <c r="AB262">
        <v>130.15</v>
      </c>
      <c r="AC262">
        <v>144</v>
      </c>
      <c r="AD262">
        <v>156.5</v>
      </c>
      <c r="AE262">
        <v>144.75</v>
      </c>
      <c r="AF262">
        <f t="shared" si="14"/>
        <v>295.45</v>
      </c>
      <c r="AG262">
        <v>143.67500000000001</v>
      </c>
      <c r="AH262">
        <v>148.69999999999999</v>
      </c>
    </row>
    <row r="263" spans="1:34" x14ac:dyDescent="0.35">
      <c r="A263" t="s">
        <v>28</v>
      </c>
      <c r="B263">
        <v>2020</v>
      </c>
      <c r="C263" t="s">
        <v>35</v>
      </c>
      <c r="D263">
        <v>149.23333333333332</v>
      </c>
      <c r="E263">
        <v>167.1</v>
      </c>
      <c r="F263">
        <v>149.20000000000002</v>
      </c>
      <c r="G263">
        <v>155.56666666666669</v>
      </c>
      <c r="H263">
        <v>134.6</v>
      </c>
      <c r="I263">
        <v>150.03333333333333</v>
      </c>
      <c r="J263">
        <v>170.43333333333331</v>
      </c>
      <c r="K263">
        <v>150.46666666666667</v>
      </c>
      <c r="L263">
        <v>120.43333333333334</v>
      </c>
      <c r="M263">
        <v>156.6</v>
      </c>
      <c r="N263">
        <v>136.5</v>
      </c>
      <c r="O263">
        <v>159.56666666666669</v>
      </c>
      <c r="P263">
        <v>151.66666666666666</v>
      </c>
      <c r="Q263">
        <f t="shared" si="12"/>
        <v>1951.4</v>
      </c>
      <c r="R263">
        <v>171.66666666666666</v>
      </c>
      <c r="S263">
        <v>150.76666666666668</v>
      </c>
      <c r="T263">
        <v>141.1</v>
      </c>
      <c r="U263">
        <v>149.30000000000001</v>
      </c>
      <c r="V263">
        <v>441.16666666666669</v>
      </c>
      <c r="W263">
        <v>154.69999999999999</v>
      </c>
      <c r="X263">
        <v>143.20000000000002</v>
      </c>
      <c r="Y263">
        <v>146.23333333333335</v>
      </c>
      <c r="Z263">
        <f t="shared" si="13"/>
        <v>300.93333333333334</v>
      </c>
      <c r="AA263">
        <v>149.93333333333334</v>
      </c>
      <c r="AB263">
        <v>130.1</v>
      </c>
      <c r="AC263">
        <v>144.26666666666668</v>
      </c>
      <c r="AD263">
        <v>156.6</v>
      </c>
      <c r="AE263">
        <v>145.19999999999999</v>
      </c>
      <c r="AF263">
        <f t="shared" si="14"/>
        <v>295.13333333333333</v>
      </c>
      <c r="AG263">
        <v>143.69999999999999</v>
      </c>
      <c r="AH263">
        <v>148.56666666666669</v>
      </c>
    </row>
    <row r="264" spans="1:34" x14ac:dyDescent="0.35">
      <c r="A264" t="s">
        <v>30</v>
      </c>
      <c r="B264">
        <v>2020</v>
      </c>
      <c r="C264" t="s">
        <v>35</v>
      </c>
      <c r="D264">
        <v>150.25</v>
      </c>
      <c r="E264">
        <v>167.25</v>
      </c>
      <c r="F264">
        <v>150.35000000000002</v>
      </c>
      <c r="G264">
        <v>155.55000000000001</v>
      </c>
      <c r="H264">
        <v>133.35</v>
      </c>
      <c r="I264">
        <v>151.4</v>
      </c>
      <c r="J264">
        <v>174.3</v>
      </c>
      <c r="K264">
        <v>150.60000000000002</v>
      </c>
      <c r="L264">
        <v>120.75</v>
      </c>
      <c r="M264">
        <v>155.55000000000001</v>
      </c>
      <c r="N264">
        <v>135.15</v>
      </c>
      <c r="O264">
        <v>159.35</v>
      </c>
      <c r="P264">
        <v>152.44999999999999</v>
      </c>
      <c r="Q264">
        <f t="shared" si="12"/>
        <v>1956.3000000000002</v>
      </c>
      <c r="R264">
        <v>172.25</v>
      </c>
      <c r="S264">
        <v>149.44999999999999</v>
      </c>
      <c r="T264">
        <v>137.85000000000002</v>
      </c>
      <c r="U264">
        <v>147.69999999999999</v>
      </c>
      <c r="V264">
        <v>435</v>
      </c>
      <c r="W264">
        <v>154.69999999999999</v>
      </c>
      <c r="X264">
        <v>140.6</v>
      </c>
      <c r="Y264">
        <v>143.60000000000002</v>
      </c>
      <c r="Z264">
        <f t="shared" si="13"/>
        <v>298.3</v>
      </c>
      <c r="AA264">
        <v>147.75</v>
      </c>
      <c r="AB264">
        <v>127.25</v>
      </c>
      <c r="AC264">
        <v>140.80000000000001</v>
      </c>
      <c r="AD264">
        <v>154.30000000000001</v>
      </c>
      <c r="AE264">
        <v>145.25</v>
      </c>
      <c r="AF264">
        <f t="shared" si="14"/>
        <v>293</v>
      </c>
      <c r="AG264">
        <v>141.25</v>
      </c>
      <c r="AH264">
        <v>147.94999999999999</v>
      </c>
    </row>
    <row r="265" spans="1:34" x14ac:dyDescent="0.35">
      <c r="A265" t="s">
        <v>31</v>
      </c>
      <c r="B265">
        <v>2020</v>
      </c>
      <c r="C265" t="s">
        <v>35</v>
      </c>
      <c r="D265">
        <v>148.69999999999999</v>
      </c>
      <c r="E265">
        <v>167</v>
      </c>
      <c r="F265">
        <v>148.80000000000001</v>
      </c>
      <c r="G265">
        <v>155.6</v>
      </c>
      <c r="H265">
        <v>135.1</v>
      </c>
      <c r="I265">
        <v>149.9</v>
      </c>
      <c r="J265">
        <v>168.6</v>
      </c>
      <c r="K265">
        <v>150.4</v>
      </c>
      <c r="L265">
        <v>120.3</v>
      </c>
      <c r="M265">
        <v>157.1</v>
      </c>
      <c r="N265">
        <v>136.80000000000001</v>
      </c>
      <c r="O265">
        <v>159.6</v>
      </c>
      <c r="P265">
        <v>151.4</v>
      </c>
      <c r="Q265">
        <f t="shared" si="12"/>
        <v>1949.3</v>
      </c>
      <c r="R265">
        <v>171.2</v>
      </c>
      <c r="S265">
        <v>151.19999999999999</v>
      </c>
      <c r="T265">
        <v>141.9</v>
      </c>
      <c r="U265">
        <v>149.80000000000001</v>
      </c>
      <c r="V265">
        <v>442.90000000000003</v>
      </c>
      <c r="W265">
        <v>154.69999999999999</v>
      </c>
      <c r="X265">
        <v>144.1</v>
      </c>
      <c r="Y265">
        <v>146.4</v>
      </c>
      <c r="Z265">
        <f t="shared" si="13"/>
        <v>301.10000000000002</v>
      </c>
      <c r="AA265">
        <v>150.69999999999999</v>
      </c>
      <c r="AB265">
        <v>129.9</v>
      </c>
      <c r="AC265">
        <v>143.69999999999999</v>
      </c>
      <c r="AD265">
        <v>156.1</v>
      </c>
      <c r="AE265">
        <v>145.19999999999999</v>
      </c>
      <c r="AF265">
        <f t="shared" si="14"/>
        <v>295.89999999999998</v>
      </c>
      <c r="AG265">
        <v>143.80000000000001</v>
      </c>
      <c r="AH265">
        <v>148.6</v>
      </c>
    </row>
    <row r="266" spans="1:34" x14ac:dyDescent="0.35">
      <c r="A266" t="s">
        <v>28</v>
      </c>
      <c r="B266">
        <v>2020</v>
      </c>
      <c r="C266" t="s">
        <v>36</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f t="shared" si="12"/>
        <v>1951</v>
      </c>
      <c r="R266">
        <v>182.4</v>
      </c>
      <c r="S266">
        <v>154.69999999999999</v>
      </c>
      <c r="T266">
        <v>150</v>
      </c>
      <c r="U266">
        <v>154.1</v>
      </c>
      <c r="V266">
        <v>458.79999999999995</v>
      </c>
      <c r="W266">
        <v>154.69999999999999</v>
      </c>
      <c r="X266">
        <v>144.9</v>
      </c>
      <c r="Y266">
        <v>151.69999999999999</v>
      </c>
      <c r="Z266">
        <f t="shared" si="13"/>
        <v>306.39999999999998</v>
      </c>
      <c r="AA266">
        <v>158.19999999999999</v>
      </c>
      <c r="AB266">
        <v>141.4</v>
      </c>
      <c r="AC266">
        <v>153.19999999999999</v>
      </c>
      <c r="AD266">
        <v>161.80000000000001</v>
      </c>
      <c r="AE266">
        <v>151.19999999999999</v>
      </c>
      <c r="AF266">
        <f t="shared" si="14"/>
        <v>309.39999999999998</v>
      </c>
      <c r="AG266">
        <v>151.69999999999999</v>
      </c>
      <c r="AH266">
        <v>152.69999999999999</v>
      </c>
    </row>
    <row r="267" spans="1:34" x14ac:dyDescent="0.35">
      <c r="A267" t="s">
        <v>30</v>
      </c>
      <c r="B267">
        <v>2020</v>
      </c>
      <c r="C267" t="s">
        <v>36</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f t="shared" si="12"/>
        <v>1994.9999999999998</v>
      </c>
      <c r="R267">
        <v>186.7</v>
      </c>
      <c r="S267">
        <v>149.1</v>
      </c>
      <c r="T267">
        <v>136.6</v>
      </c>
      <c r="U267">
        <v>147.19999999999999</v>
      </c>
      <c r="V267">
        <v>432.9</v>
      </c>
      <c r="W267">
        <v>154.69999999999999</v>
      </c>
      <c r="X267">
        <v>137.1</v>
      </c>
      <c r="Y267">
        <v>140.4</v>
      </c>
      <c r="Z267">
        <f t="shared" si="13"/>
        <v>295.10000000000002</v>
      </c>
      <c r="AA267">
        <v>148.1</v>
      </c>
      <c r="AB267">
        <v>129.30000000000001</v>
      </c>
      <c r="AC267">
        <v>144.5</v>
      </c>
      <c r="AD267">
        <v>152.5</v>
      </c>
      <c r="AE267">
        <v>152.19999999999999</v>
      </c>
      <c r="AF267">
        <f t="shared" si="14"/>
        <v>300.29999999999995</v>
      </c>
      <c r="AG267">
        <v>142</v>
      </c>
      <c r="AH267">
        <v>150.80000000000001</v>
      </c>
    </row>
    <row r="268" spans="1:34" x14ac:dyDescent="0.35">
      <c r="A268" t="s">
        <v>31</v>
      </c>
      <c r="B268">
        <v>2020</v>
      </c>
      <c r="C268" t="s">
        <v>36</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f t="shared" si="12"/>
        <v>1966.8000000000002</v>
      </c>
      <c r="R268">
        <v>183.5</v>
      </c>
      <c r="S268">
        <v>152.5</v>
      </c>
      <c r="T268">
        <v>144.4</v>
      </c>
      <c r="U268">
        <v>151.4</v>
      </c>
      <c r="V268">
        <v>448.29999999999995</v>
      </c>
      <c r="W268">
        <v>154.69999999999999</v>
      </c>
      <c r="X268">
        <v>141.9</v>
      </c>
      <c r="Y268">
        <v>146.4</v>
      </c>
      <c r="Z268">
        <f t="shared" si="13"/>
        <v>301.10000000000002</v>
      </c>
      <c r="AA268">
        <v>154.4</v>
      </c>
      <c r="AB268">
        <v>135</v>
      </c>
      <c r="AC268">
        <v>148.30000000000001</v>
      </c>
      <c r="AD268">
        <v>156.4</v>
      </c>
      <c r="AE268">
        <v>151.6</v>
      </c>
      <c r="AF268">
        <f t="shared" si="14"/>
        <v>306</v>
      </c>
      <c r="AG268">
        <v>147</v>
      </c>
      <c r="AH268">
        <v>151.80000000000001</v>
      </c>
    </row>
    <row r="269" spans="1:34" x14ac:dyDescent="0.35">
      <c r="A269" t="s">
        <v>28</v>
      </c>
      <c r="B269">
        <v>2020</v>
      </c>
      <c r="C269" t="s">
        <v>37</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f t="shared" si="12"/>
        <v>1951</v>
      </c>
      <c r="R269">
        <v>182.4</v>
      </c>
      <c r="S269">
        <v>154.69999999999999</v>
      </c>
      <c r="T269">
        <v>150</v>
      </c>
      <c r="U269">
        <v>154.1</v>
      </c>
      <c r="V269">
        <v>458.79999999999995</v>
      </c>
      <c r="W269">
        <v>154.69999999999999</v>
      </c>
      <c r="X269">
        <v>144.9</v>
      </c>
      <c r="Y269">
        <v>151.69999999999999</v>
      </c>
      <c r="Z269">
        <f t="shared" si="13"/>
        <v>306.39999999999998</v>
      </c>
      <c r="AA269">
        <v>158.19999999999999</v>
      </c>
      <c r="AB269">
        <v>141.4</v>
      </c>
      <c r="AC269">
        <v>153.19999999999999</v>
      </c>
      <c r="AD269">
        <v>161.80000000000001</v>
      </c>
      <c r="AE269">
        <v>151.19999999999999</v>
      </c>
      <c r="AF269">
        <f t="shared" si="14"/>
        <v>309.39999999999998</v>
      </c>
      <c r="AG269">
        <v>151.69999999999999</v>
      </c>
      <c r="AH269">
        <v>152.69999999999999</v>
      </c>
    </row>
    <row r="270" spans="1:34" x14ac:dyDescent="0.35">
      <c r="A270" t="s">
        <v>30</v>
      </c>
      <c r="B270">
        <v>2020</v>
      </c>
      <c r="C270" t="s">
        <v>37</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f t="shared" si="12"/>
        <v>1994.9999999999998</v>
      </c>
      <c r="R270">
        <v>186.7</v>
      </c>
      <c r="S270">
        <v>149.1</v>
      </c>
      <c r="T270">
        <v>136.6</v>
      </c>
      <c r="U270">
        <v>147.19999999999999</v>
      </c>
      <c r="V270">
        <v>432.9</v>
      </c>
      <c r="W270">
        <v>154.69999999999999</v>
      </c>
      <c r="X270">
        <v>137.1</v>
      </c>
      <c r="Y270">
        <v>140.4</v>
      </c>
      <c r="Z270">
        <f t="shared" si="13"/>
        <v>295.10000000000002</v>
      </c>
      <c r="AA270">
        <v>148.1</v>
      </c>
      <c r="AB270">
        <v>129.30000000000001</v>
      </c>
      <c r="AC270">
        <v>144.5</v>
      </c>
      <c r="AD270">
        <v>152.5</v>
      </c>
      <c r="AE270">
        <v>152.19999999999999</v>
      </c>
      <c r="AF270">
        <f t="shared" si="14"/>
        <v>300.29999999999995</v>
      </c>
      <c r="AG270">
        <v>142</v>
      </c>
      <c r="AH270">
        <v>150.80000000000001</v>
      </c>
    </row>
    <row r="271" spans="1:34" x14ac:dyDescent="0.35">
      <c r="A271" t="s">
        <v>31</v>
      </c>
      <c r="B271">
        <v>2020</v>
      </c>
      <c r="C271" t="s">
        <v>37</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f t="shared" si="12"/>
        <v>1966.8000000000002</v>
      </c>
      <c r="R271">
        <v>183.5</v>
      </c>
      <c r="S271">
        <v>152.5</v>
      </c>
      <c r="T271">
        <v>144.4</v>
      </c>
      <c r="U271">
        <v>151.4</v>
      </c>
      <c r="V271">
        <v>448.29999999999995</v>
      </c>
      <c r="W271">
        <v>154.69999999999999</v>
      </c>
      <c r="X271">
        <v>141.9</v>
      </c>
      <c r="Y271">
        <v>146.4</v>
      </c>
      <c r="Z271">
        <f t="shared" si="13"/>
        <v>301.10000000000002</v>
      </c>
      <c r="AA271">
        <v>154.4</v>
      </c>
      <c r="AB271">
        <v>135</v>
      </c>
      <c r="AC271">
        <v>148.30000000000001</v>
      </c>
      <c r="AD271">
        <v>156.4</v>
      </c>
      <c r="AE271">
        <v>151.6</v>
      </c>
      <c r="AF271">
        <f t="shared" si="14"/>
        <v>306</v>
      </c>
      <c r="AG271">
        <v>147</v>
      </c>
      <c r="AH271">
        <v>151.80000000000001</v>
      </c>
    </row>
    <row r="272" spans="1:34" x14ac:dyDescent="0.35">
      <c r="A272" t="s">
        <v>28</v>
      </c>
      <c r="B272">
        <v>2020</v>
      </c>
      <c r="C272" t="s">
        <v>38</v>
      </c>
      <c r="D272">
        <v>147.6</v>
      </c>
      <c r="E272">
        <v>187.2</v>
      </c>
      <c r="F272">
        <v>148.4</v>
      </c>
      <c r="G272">
        <v>153.30000000000001</v>
      </c>
      <c r="H272">
        <v>139.80000000000001</v>
      </c>
      <c r="I272">
        <v>146.9</v>
      </c>
      <c r="J272">
        <v>171</v>
      </c>
      <c r="K272">
        <v>149.9</v>
      </c>
      <c r="L272">
        <v>114.2</v>
      </c>
      <c r="M272">
        <v>160</v>
      </c>
      <c r="N272">
        <v>143.5</v>
      </c>
      <c r="O272">
        <v>161.5</v>
      </c>
      <c r="P272">
        <v>155.30000000000001</v>
      </c>
      <c r="Q272">
        <f t="shared" si="12"/>
        <v>1978.6</v>
      </c>
      <c r="R272">
        <v>180.9</v>
      </c>
      <c r="S272">
        <v>155.1</v>
      </c>
      <c r="T272">
        <v>149.30000000000001</v>
      </c>
      <c r="U272">
        <v>154.30000000000001</v>
      </c>
      <c r="V272">
        <v>458.7</v>
      </c>
      <c r="W272">
        <v>155.5</v>
      </c>
      <c r="X272">
        <v>145.80000000000001</v>
      </c>
      <c r="Y272">
        <v>151.9</v>
      </c>
      <c r="Z272">
        <f t="shared" si="13"/>
        <v>307.39999999999998</v>
      </c>
      <c r="AA272">
        <v>158.80000000000001</v>
      </c>
      <c r="AB272">
        <v>143.6</v>
      </c>
      <c r="AC272">
        <v>152.19999999999999</v>
      </c>
      <c r="AD272">
        <v>162.69999999999999</v>
      </c>
      <c r="AE272">
        <v>153.6</v>
      </c>
      <c r="AF272">
        <f t="shared" si="14"/>
        <v>312.39999999999998</v>
      </c>
      <c r="AG272">
        <v>153</v>
      </c>
      <c r="AH272">
        <v>154.69999999999999</v>
      </c>
    </row>
    <row r="273" spans="1:34" x14ac:dyDescent="0.35">
      <c r="A273" t="s">
        <v>30</v>
      </c>
      <c r="B273">
        <v>2020</v>
      </c>
      <c r="C273" t="s">
        <v>38</v>
      </c>
      <c r="D273">
        <v>151.6</v>
      </c>
      <c r="E273">
        <v>197.8</v>
      </c>
      <c r="F273">
        <v>154.5</v>
      </c>
      <c r="G273">
        <v>153.4</v>
      </c>
      <c r="H273">
        <v>133.4</v>
      </c>
      <c r="I273">
        <v>154.5</v>
      </c>
      <c r="J273">
        <v>191.9</v>
      </c>
      <c r="K273">
        <v>151.30000000000001</v>
      </c>
      <c r="L273">
        <v>116.8</v>
      </c>
      <c r="M273">
        <v>160</v>
      </c>
      <c r="N273">
        <v>136.5</v>
      </c>
      <c r="O273">
        <v>163.30000000000001</v>
      </c>
      <c r="P273">
        <v>159.9</v>
      </c>
      <c r="Q273">
        <f t="shared" si="12"/>
        <v>2024.8999999999999</v>
      </c>
      <c r="R273">
        <v>187.2</v>
      </c>
      <c r="S273">
        <v>150</v>
      </c>
      <c r="T273">
        <v>135.19999999999999</v>
      </c>
      <c r="U273">
        <v>147.80000000000001</v>
      </c>
      <c r="V273">
        <v>433</v>
      </c>
      <c r="W273">
        <v>155.5</v>
      </c>
      <c r="X273">
        <v>138.30000000000001</v>
      </c>
      <c r="Y273">
        <v>144.5</v>
      </c>
      <c r="Z273">
        <f t="shared" si="13"/>
        <v>300</v>
      </c>
      <c r="AA273">
        <v>148.69999999999999</v>
      </c>
      <c r="AB273">
        <v>133.9</v>
      </c>
      <c r="AC273">
        <v>141.19999999999999</v>
      </c>
      <c r="AD273">
        <v>155.5</v>
      </c>
      <c r="AE273">
        <v>155.19999999999999</v>
      </c>
      <c r="AF273">
        <f t="shared" si="14"/>
        <v>303.89999999999998</v>
      </c>
      <c r="AG273">
        <v>144.80000000000001</v>
      </c>
      <c r="AH273">
        <v>152.9</v>
      </c>
    </row>
    <row r="274" spans="1:34" x14ac:dyDescent="0.35">
      <c r="A274" t="s">
        <v>31</v>
      </c>
      <c r="B274">
        <v>2020</v>
      </c>
      <c r="C274" t="s">
        <v>38</v>
      </c>
      <c r="D274">
        <v>148.9</v>
      </c>
      <c r="E274">
        <v>190.9</v>
      </c>
      <c r="F274">
        <v>150.80000000000001</v>
      </c>
      <c r="G274">
        <v>153.30000000000001</v>
      </c>
      <c r="H274">
        <v>137.4</v>
      </c>
      <c r="I274">
        <v>150.4</v>
      </c>
      <c r="J274">
        <v>178.1</v>
      </c>
      <c r="K274">
        <v>150.4</v>
      </c>
      <c r="L274">
        <v>115.1</v>
      </c>
      <c r="M274">
        <v>160</v>
      </c>
      <c r="N274">
        <v>140.6</v>
      </c>
      <c r="O274">
        <v>162.30000000000001</v>
      </c>
      <c r="P274">
        <v>157</v>
      </c>
      <c r="Q274">
        <f t="shared" si="12"/>
        <v>1995.1999999999998</v>
      </c>
      <c r="R274">
        <v>182.6</v>
      </c>
      <c r="S274">
        <v>153.1</v>
      </c>
      <c r="T274">
        <v>143.4</v>
      </c>
      <c r="U274">
        <v>151.69999999999999</v>
      </c>
      <c r="V274">
        <v>448.2</v>
      </c>
      <c r="W274">
        <v>155.5</v>
      </c>
      <c r="X274">
        <v>143</v>
      </c>
      <c r="Y274">
        <v>148.4</v>
      </c>
      <c r="Z274">
        <f t="shared" si="13"/>
        <v>303.89999999999998</v>
      </c>
      <c r="AA274">
        <v>155</v>
      </c>
      <c r="AB274">
        <v>138.5</v>
      </c>
      <c r="AC274">
        <v>146</v>
      </c>
      <c r="AD274">
        <v>158.5</v>
      </c>
      <c r="AE274">
        <v>154.30000000000001</v>
      </c>
      <c r="AF274">
        <f t="shared" si="14"/>
        <v>309.3</v>
      </c>
      <c r="AG274">
        <v>149</v>
      </c>
      <c r="AH274">
        <v>153.9</v>
      </c>
    </row>
    <row r="275" spans="1:34" x14ac:dyDescent="0.35">
      <c r="A275" t="s">
        <v>28</v>
      </c>
      <c r="B275">
        <v>2020</v>
      </c>
      <c r="C275" t="s">
        <v>39</v>
      </c>
      <c r="D275">
        <v>146.9</v>
      </c>
      <c r="E275">
        <v>183.9</v>
      </c>
      <c r="F275">
        <v>149.5</v>
      </c>
      <c r="G275">
        <v>153.4</v>
      </c>
      <c r="H275">
        <v>140.4</v>
      </c>
      <c r="I275">
        <v>147</v>
      </c>
      <c r="J275">
        <v>178.8</v>
      </c>
      <c r="K275">
        <v>149.30000000000001</v>
      </c>
      <c r="L275">
        <v>115.1</v>
      </c>
      <c r="M275">
        <v>160</v>
      </c>
      <c r="N275">
        <v>145.4</v>
      </c>
      <c r="O275">
        <v>161.6</v>
      </c>
      <c r="P275">
        <v>156.1</v>
      </c>
      <c r="Q275">
        <f t="shared" si="12"/>
        <v>1987.3999999999999</v>
      </c>
      <c r="R275">
        <v>182.9</v>
      </c>
      <c r="S275">
        <v>155.4</v>
      </c>
      <c r="T275">
        <v>149.9</v>
      </c>
      <c r="U275">
        <v>154.6</v>
      </c>
      <c r="V275">
        <v>459.9</v>
      </c>
      <c r="W275">
        <v>156.30000000000001</v>
      </c>
      <c r="X275">
        <v>146.4</v>
      </c>
      <c r="Y275">
        <v>151.6</v>
      </c>
      <c r="Z275">
        <f t="shared" si="13"/>
        <v>307.89999999999998</v>
      </c>
      <c r="AA275">
        <v>159.1</v>
      </c>
      <c r="AB275">
        <v>144.6</v>
      </c>
      <c r="AC275">
        <v>152.80000000000001</v>
      </c>
      <c r="AD275">
        <v>161.1</v>
      </c>
      <c r="AE275">
        <v>157.4</v>
      </c>
      <c r="AF275">
        <f t="shared" si="14"/>
        <v>316.5</v>
      </c>
      <c r="AG275">
        <v>153.69999999999999</v>
      </c>
      <c r="AH275">
        <v>155.4</v>
      </c>
    </row>
    <row r="276" spans="1:34" x14ac:dyDescent="0.35">
      <c r="A276" t="s">
        <v>30</v>
      </c>
      <c r="B276">
        <v>2020</v>
      </c>
      <c r="C276" t="s">
        <v>39</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f t="shared" si="12"/>
        <v>2041.6000000000001</v>
      </c>
      <c r="R276">
        <v>188.7</v>
      </c>
      <c r="S276">
        <v>150.19999999999999</v>
      </c>
      <c r="T276">
        <v>136.30000000000001</v>
      </c>
      <c r="U276">
        <v>148.1</v>
      </c>
      <c r="V276">
        <v>434.6</v>
      </c>
      <c r="W276">
        <v>156.30000000000001</v>
      </c>
      <c r="X276">
        <v>137.19999999999999</v>
      </c>
      <c r="Y276">
        <v>145.4</v>
      </c>
      <c r="Z276">
        <f t="shared" si="13"/>
        <v>301.70000000000005</v>
      </c>
      <c r="AA276">
        <v>150</v>
      </c>
      <c r="AB276">
        <v>135.1</v>
      </c>
      <c r="AC276">
        <v>141.80000000000001</v>
      </c>
      <c r="AD276">
        <v>154.9</v>
      </c>
      <c r="AE276">
        <v>159.80000000000001</v>
      </c>
      <c r="AF276">
        <f t="shared" si="14"/>
        <v>309.8</v>
      </c>
      <c r="AG276">
        <v>146</v>
      </c>
      <c r="AH276">
        <v>154</v>
      </c>
    </row>
    <row r="277" spans="1:34" x14ac:dyDescent="0.35">
      <c r="A277" t="s">
        <v>31</v>
      </c>
      <c r="B277">
        <v>2020</v>
      </c>
      <c r="C277" t="s">
        <v>39</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f t="shared" si="12"/>
        <v>2007</v>
      </c>
      <c r="R277">
        <v>184.4</v>
      </c>
      <c r="S277">
        <v>153.4</v>
      </c>
      <c r="T277">
        <v>144.30000000000001</v>
      </c>
      <c r="U277">
        <v>152</v>
      </c>
      <c r="V277">
        <v>449.70000000000005</v>
      </c>
      <c r="W277">
        <v>156.30000000000001</v>
      </c>
      <c r="X277">
        <v>142.9</v>
      </c>
      <c r="Y277">
        <v>148.69999999999999</v>
      </c>
      <c r="Z277">
        <f t="shared" si="13"/>
        <v>305</v>
      </c>
      <c r="AA277">
        <v>155.6</v>
      </c>
      <c r="AB277">
        <v>139.6</v>
      </c>
      <c r="AC277">
        <v>146.6</v>
      </c>
      <c r="AD277">
        <v>157.5</v>
      </c>
      <c r="AE277">
        <v>158.4</v>
      </c>
      <c r="AF277">
        <f t="shared" si="14"/>
        <v>314</v>
      </c>
      <c r="AG277">
        <v>150</v>
      </c>
      <c r="AH277">
        <v>154.69999999999999</v>
      </c>
    </row>
    <row r="278" spans="1:34" x14ac:dyDescent="0.35">
      <c r="A278" t="s">
        <v>28</v>
      </c>
      <c r="B278">
        <v>2020</v>
      </c>
      <c r="C278" t="s">
        <v>40</v>
      </c>
      <c r="D278">
        <v>146</v>
      </c>
      <c r="E278">
        <v>186.3</v>
      </c>
      <c r="F278">
        <v>159.19999999999999</v>
      </c>
      <c r="G278">
        <v>153.6</v>
      </c>
      <c r="H278">
        <v>142.6</v>
      </c>
      <c r="I278">
        <v>147.19999999999999</v>
      </c>
      <c r="J278">
        <v>200.6</v>
      </c>
      <c r="K278">
        <v>150.30000000000001</v>
      </c>
      <c r="L278">
        <v>115.3</v>
      </c>
      <c r="M278">
        <v>160.9</v>
      </c>
      <c r="N278">
        <v>147.4</v>
      </c>
      <c r="O278">
        <v>161.9</v>
      </c>
      <c r="P278">
        <v>159.6</v>
      </c>
      <c r="Q278">
        <f t="shared" si="12"/>
        <v>2030.9</v>
      </c>
      <c r="R278">
        <v>182.7</v>
      </c>
      <c r="S278">
        <v>155.69999999999999</v>
      </c>
      <c r="T278">
        <v>150.6</v>
      </c>
      <c r="U278">
        <v>155</v>
      </c>
      <c r="V278">
        <v>461.29999999999995</v>
      </c>
      <c r="W278">
        <v>156.5</v>
      </c>
      <c r="X278">
        <v>146.80000000000001</v>
      </c>
      <c r="Y278">
        <v>152</v>
      </c>
      <c r="Z278">
        <f t="shared" si="13"/>
        <v>308.5</v>
      </c>
      <c r="AA278">
        <v>159.5</v>
      </c>
      <c r="AB278">
        <v>146.4</v>
      </c>
      <c r="AC278">
        <v>152.4</v>
      </c>
      <c r="AD278">
        <v>162.5</v>
      </c>
      <c r="AE278">
        <v>156.19999999999999</v>
      </c>
      <c r="AF278">
        <f t="shared" si="14"/>
        <v>315.7</v>
      </c>
      <c r="AG278">
        <v>154.30000000000001</v>
      </c>
      <c r="AH278">
        <v>157.5</v>
      </c>
    </row>
    <row r="279" spans="1:34" x14ac:dyDescent="0.35">
      <c r="A279" t="s">
        <v>30</v>
      </c>
      <c r="B279">
        <v>2020</v>
      </c>
      <c r="C279" t="s">
        <v>40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f t="shared" si="12"/>
        <v>2080.1999999999998</v>
      </c>
      <c r="R279">
        <v>188.7</v>
      </c>
      <c r="S279">
        <v>150.5</v>
      </c>
      <c r="T279">
        <v>136.1</v>
      </c>
      <c r="U279">
        <v>148.30000000000001</v>
      </c>
      <c r="V279">
        <v>434.90000000000003</v>
      </c>
      <c r="W279">
        <v>156.5</v>
      </c>
      <c r="X279">
        <v>137.1</v>
      </c>
      <c r="Y279">
        <v>145.1</v>
      </c>
      <c r="Z279">
        <f t="shared" si="13"/>
        <v>301.60000000000002</v>
      </c>
      <c r="AA279">
        <v>151</v>
      </c>
      <c r="AB279">
        <v>135.4</v>
      </c>
      <c r="AC279">
        <v>142</v>
      </c>
      <c r="AD279">
        <v>155.69999999999999</v>
      </c>
      <c r="AE279">
        <v>158.1</v>
      </c>
      <c r="AF279">
        <f t="shared" si="14"/>
        <v>309.10000000000002</v>
      </c>
      <c r="AG279">
        <v>146.19999999999999</v>
      </c>
      <c r="AH279">
        <v>155.19999999999999</v>
      </c>
    </row>
    <row r="280" spans="1:34" x14ac:dyDescent="0.35">
      <c r="A280" t="s">
        <v>31</v>
      </c>
      <c r="B280">
        <v>2020</v>
      </c>
      <c r="C280" t="s">
        <v>40</v>
      </c>
      <c r="D280">
        <v>147.5</v>
      </c>
      <c r="E280">
        <v>188.9</v>
      </c>
      <c r="F280">
        <v>161.4</v>
      </c>
      <c r="G280">
        <v>153.6</v>
      </c>
      <c r="H280">
        <v>140.1</v>
      </c>
      <c r="I280">
        <v>151.19999999999999</v>
      </c>
      <c r="J280">
        <v>209.2</v>
      </c>
      <c r="K280">
        <v>150.9</v>
      </c>
      <c r="L280">
        <v>116.2</v>
      </c>
      <c r="M280">
        <v>161</v>
      </c>
      <c r="N280">
        <v>144</v>
      </c>
      <c r="O280">
        <v>163.19999999999999</v>
      </c>
      <c r="P280">
        <v>161.4</v>
      </c>
      <c r="Q280">
        <f t="shared" si="12"/>
        <v>2048.6000000000004</v>
      </c>
      <c r="R280">
        <v>184.3</v>
      </c>
      <c r="S280">
        <v>153.69999999999999</v>
      </c>
      <c r="T280">
        <v>144.6</v>
      </c>
      <c r="U280">
        <v>152.30000000000001</v>
      </c>
      <c r="V280">
        <v>450.59999999999997</v>
      </c>
      <c r="W280">
        <v>156.5</v>
      </c>
      <c r="X280">
        <v>143.1</v>
      </c>
      <c r="Y280">
        <v>148.69999999999999</v>
      </c>
      <c r="Z280">
        <f t="shared" si="13"/>
        <v>305.2</v>
      </c>
      <c r="AA280">
        <v>156.30000000000001</v>
      </c>
      <c r="AB280">
        <v>140.6</v>
      </c>
      <c r="AC280">
        <v>146.5</v>
      </c>
      <c r="AD280">
        <v>158.5</v>
      </c>
      <c r="AE280">
        <v>157</v>
      </c>
      <c r="AF280">
        <f t="shared" si="14"/>
        <v>313.3</v>
      </c>
      <c r="AG280">
        <v>150.4</v>
      </c>
      <c r="AH280">
        <v>156.4</v>
      </c>
    </row>
    <row r="281" spans="1:34" x14ac:dyDescent="0.35">
      <c r="A281" t="s">
        <v>28</v>
      </c>
      <c r="B281">
        <v>2020</v>
      </c>
      <c r="C281" t="s">
        <v>42</v>
      </c>
      <c r="D281">
        <v>145.4</v>
      </c>
      <c r="E281">
        <v>188.6</v>
      </c>
      <c r="F281">
        <v>171.6</v>
      </c>
      <c r="G281">
        <v>153.80000000000001</v>
      </c>
      <c r="H281">
        <v>145.4</v>
      </c>
      <c r="I281">
        <v>146.5</v>
      </c>
      <c r="J281">
        <v>222.2</v>
      </c>
      <c r="K281">
        <v>155.9</v>
      </c>
      <c r="L281">
        <v>114.9</v>
      </c>
      <c r="M281">
        <v>162</v>
      </c>
      <c r="N281">
        <v>150</v>
      </c>
      <c r="O281">
        <v>162.69999999999999</v>
      </c>
      <c r="P281">
        <v>163.4</v>
      </c>
      <c r="Q281">
        <f t="shared" si="12"/>
        <v>2082.4</v>
      </c>
      <c r="R281">
        <v>183.4</v>
      </c>
      <c r="S281">
        <v>156.30000000000001</v>
      </c>
      <c r="T281">
        <v>151</v>
      </c>
      <c r="U281">
        <v>155.5</v>
      </c>
      <c r="V281">
        <v>462.8</v>
      </c>
      <c r="W281">
        <v>158</v>
      </c>
      <c r="X281">
        <v>147.5</v>
      </c>
      <c r="Y281">
        <v>152.80000000000001</v>
      </c>
      <c r="Z281">
        <f t="shared" si="13"/>
        <v>310.8</v>
      </c>
      <c r="AA281">
        <v>160.4</v>
      </c>
      <c r="AB281">
        <v>146.1</v>
      </c>
      <c r="AC281">
        <v>153.6</v>
      </c>
      <c r="AD281">
        <v>161.6</v>
      </c>
      <c r="AE281">
        <v>156.19999999999999</v>
      </c>
      <c r="AF281">
        <f t="shared" si="14"/>
        <v>316.60000000000002</v>
      </c>
      <c r="AG281">
        <v>154.5</v>
      </c>
      <c r="AH281">
        <v>159.80000000000001</v>
      </c>
    </row>
    <row r="282" spans="1:34" x14ac:dyDescent="0.35">
      <c r="A282" t="s">
        <v>30</v>
      </c>
      <c r="B282">
        <v>2020</v>
      </c>
      <c r="C282" t="s">
        <v>42</v>
      </c>
      <c r="D282">
        <v>149.69999999999999</v>
      </c>
      <c r="E282">
        <v>195.5</v>
      </c>
      <c r="F282">
        <v>176.9</v>
      </c>
      <c r="G282">
        <v>153.9</v>
      </c>
      <c r="H282">
        <v>138</v>
      </c>
      <c r="I282">
        <v>150.5</v>
      </c>
      <c r="J282">
        <v>245.3</v>
      </c>
      <c r="K282">
        <v>158.69999999999999</v>
      </c>
      <c r="L282">
        <v>117.2</v>
      </c>
      <c r="M282">
        <v>161.4</v>
      </c>
      <c r="N282">
        <v>141.5</v>
      </c>
      <c r="O282">
        <v>165.1</v>
      </c>
      <c r="P282">
        <v>167</v>
      </c>
      <c r="Q282">
        <f t="shared" si="12"/>
        <v>2120.6999999999998</v>
      </c>
      <c r="R282">
        <v>188.8</v>
      </c>
      <c r="S282">
        <v>151.1</v>
      </c>
      <c r="T282">
        <v>136.4</v>
      </c>
      <c r="U282">
        <v>148.80000000000001</v>
      </c>
      <c r="V282">
        <v>436.3</v>
      </c>
      <c r="W282">
        <v>158</v>
      </c>
      <c r="X282">
        <v>137.30000000000001</v>
      </c>
      <c r="Y282">
        <v>145.1</v>
      </c>
      <c r="Z282">
        <f t="shared" si="13"/>
        <v>303.10000000000002</v>
      </c>
      <c r="AA282">
        <v>152</v>
      </c>
      <c r="AB282">
        <v>135.19999999999999</v>
      </c>
      <c r="AC282">
        <v>144.4</v>
      </c>
      <c r="AD282">
        <v>156.4</v>
      </c>
      <c r="AE282">
        <v>157.9</v>
      </c>
      <c r="AF282">
        <f t="shared" si="14"/>
        <v>309.89999999999998</v>
      </c>
      <c r="AG282">
        <v>146.6</v>
      </c>
      <c r="AH282">
        <v>156.69999999999999</v>
      </c>
    </row>
    <row r="283" spans="1:34" x14ac:dyDescent="0.35">
      <c r="A283" t="s">
        <v>31</v>
      </c>
      <c r="B283">
        <v>2020</v>
      </c>
      <c r="C283" t="s">
        <v>42</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f t="shared" si="12"/>
        <v>2095.6</v>
      </c>
      <c r="R283">
        <v>184.8</v>
      </c>
      <c r="S283">
        <v>154.30000000000001</v>
      </c>
      <c r="T283">
        <v>144.9</v>
      </c>
      <c r="U283">
        <v>152.80000000000001</v>
      </c>
      <c r="V283">
        <v>452.00000000000006</v>
      </c>
      <c r="W283">
        <v>158</v>
      </c>
      <c r="X283">
        <v>143.6</v>
      </c>
      <c r="Y283">
        <v>149.19999999999999</v>
      </c>
      <c r="Z283">
        <f t="shared" si="13"/>
        <v>307.2</v>
      </c>
      <c r="AA283">
        <v>157.19999999999999</v>
      </c>
      <c r="AB283">
        <v>140.4</v>
      </c>
      <c r="AC283">
        <v>148.4</v>
      </c>
      <c r="AD283">
        <v>158.6</v>
      </c>
      <c r="AE283">
        <v>156.9</v>
      </c>
      <c r="AF283">
        <f t="shared" si="14"/>
        <v>314.10000000000002</v>
      </c>
      <c r="AG283">
        <v>150.69999999999999</v>
      </c>
      <c r="AH283">
        <v>158.4</v>
      </c>
    </row>
    <row r="284" spans="1:34" x14ac:dyDescent="0.35">
      <c r="A284" t="s">
        <v>28</v>
      </c>
      <c r="B284">
        <v>2020</v>
      </c>
      <c r="C284" t="s">
        <v>43</v>
      </c>
      <c r="D284">
        <v>144.6</v>
      </c>
      <c r="E284">
        <v>188.5</v>
      </c>
      <c r="F284">
        <v>173.4</v>
      </c>
      <c r="G284">
        <v>154</v>
      </c>
      <c r="H284">
        <v>150</v>
      </c>
      <c r="I284">
        <v>145.9</v>
      </c>
      <c r="J284">
        <v>225.2</v>
      </c>
      <c r="K284">
        <v>159.5</v>
      </c>
      <c r="L284">
        <v>114.4</v>
      </c>
      <c r="M284">
        <v>163.5</v>
      </c>
      <c r="N284">
        <v>153.4</v>
      </c>
      <c r="O284">
        <v>163.6</v>
      </c>
      <c r="P284">
        <v>164.5</v>
      </c>
      <c r="Q284">
        <f t="shared" si="12"/>
        <v>2100.5</v>
      </c>
      <c r="R284">
        <v>183.6</v>
      </c>
      <c r="S284">
        <v>157</v>
      </c>
      <c r="T284">
        <v>151.6</v>
      </c>
      <c r="U284">
        <v>156.30000000000001</v>
      </c>
      <c r="V284">
        <v>464.90000000000003</v>
      </c>
      <c r="W284">
        <v>158.4</v>
      </c>
      <c r="X284">
        <v>148.69999999999999</v>
      </c>
      <c r="Y284">
        <v>153.4</v>
      </c>
      <c r="Z284">
        <f t="shared" si="13"/>
        <v>311.8</v>
      </c>
      <c r="AA284">
        <v>161.6</v>
      </c>
      <c r="AB284">
        <v>146.4</v>
      </c>
      <c r="AC284">
        <v>153.9</v>
      </c>
      <c r="AD284">
        <v>162.9</v>
      </c>
      <c r="AE284">
        <v>156.6</v>
      </c>
      <c r="AF284">
        <f t="shared" si="14"/>
        <v>318.2</v>
      </c>
      <c r="AG284">
        <v>155.19999999999999</v>
      </c>
      <c r="AH284">
        <v>160.69999999999999</v>
      </c>
    </row>
    <row r="285" spans="1:34" x14ac:dyDescent="0.35">
      <c r="A285" t="s">
        <v>30</v>
      </c>
      <c r="B285">
        <v>2020</v>
      </c>
      <c r="C285" t="s">
        <v>43</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f t="shared" si="12"/>
        <v>2125.4</v>
      </c>
      <c r="R285">
        <v>190.2</v>
      </c>
      <c r="S285">
        <v>151.9</v>
      </c>
      <c r="T285">
        <v>136.69999999999999</v>
      </c>
      <c r="U285">
        <v>149.6</v>
      </c>
      <c r="V285">
        <v>438.20000000000005</v>
      </c>
      <c r="W285">
        <v>158.4</v>
      </c>
      <c r="X285">
        <v>137.9</v>
      </c>
      <c r="Y285">
        <v>145.5</v>
      </c>
      <c r="Z285">
        <f t="shared" si="13"/>
        <v>303.89999999999998</v>
      </c>
      <c r="AA285">
        <v>152.9</v>
      </c>
      <c r="AB285">
        <v>135.5</v>
      </c>
      <c r="AC285">
        <v>144.30000000000001</v>
      </c>
      <c r="AD285">
        <v>156.9</v>
      </c>
      <c r="AE285">
        <v>157.9</v>
      </c>
      <c r="AF285">
        <f t="shared" si="14"/>
        <v>310.8</v>
      </c>
      <c r="AG285">
        <v>146.9</v>
      </c>
      <c r="AH285">
        <v>156.9</v>
      </c>
    </row>
    <row r="286" spans="1:34" x14ac:dyDescent="0.35">
      <c r="A286" t="s">
        <v>31</v>
      </c>
      <c r="B286">
        <v>2020</v>
      </c>
      <c r="C286" t="s">
        <v>43</v>
      </c>
      <c r="D286">
        <v>146</v>
      </c>
      <c r="E286">
        <v>191</v>
      </c>
      <c r="F286">
        <v>175.3</v>
      </c>
      <c r="G286">
        <v>154.1</v>
      </c>
      <c r="H286">
        <v>146.6</v>
      </c>
      <c r="I286">
        <v>147.69999999999999</v>
      </c>
      <c r="J286">
        <v>230.5</v>
      </c>
      <c r="K286">
        <v>160.19999999999999</v>
      </c>
      <c r="L286">
        <v>115.3</v>
      </c>
      <c r="M286">
        <v>163</v>
      </c>
      <c r="N286">
        <v>149.19999999999999</v>
      </c>
      <c r="O286">
        <v>164.8</v>
      </c>
      <c r="P286">
        <v>165.4</v>
      </c>
      <c r="Q286">
        <f t="shared" si="12"/>
        <v>2109.1</v>
      </c>
      <c r="R286">
        <v>185.4</v>
      </c>
      <c r="S286">
        <v>155</v>
      </c>
      <c r="T286">
        <v>145.4</v>
      </c>
      <c r="U286">
        <v>153.6</v>
      </c>
      <c r="V286">
        <v>454</v>
      </c>
      <c r="W286">
        <v>158.4</v>
      </c>
      <c r="X286">
        <v>144.6</v>
      </c>
      <c r="Y286">
        <v>149.69999999999999</v>
      </c>
      <c r="Z286">
        <f t="shared" si="13"/>
        <v>308.10000000000002</v>
      </c>
      <c r="AA286">
        <v>158.30000000000001</v>
      </c>
      <c r="AB286">
        <v>140.69999999999999</v>
      </c>
      <c r="AC286">
        <v>148.5</v>
      </c>
      <c r="AD286">
        <v>159.4</v>
      </c>
      <c r="AE286">
        <v>157.1</v>
      </c>
      <c r="AF286">
        <f t="shared" si="14"/>
        <v>315.39999999999998</v>
      </c>
      <c r="AG286">
        <v>151.19999999999999</v>
      </c>
      <c r="AH286">
        <v>158.9</v>
      </c>
    </row>
    <row r="287" spans="1:34" x14ac:dyDescent="0.35">
      <c r="A287" t="s">
        <v>28</v>
      </c>
      <c r="B287">
        <v>2021</v>
      </c>
      <c r="C287" t="s">
        <v>29</v>
      </c>
      <c r="D287">
        <v>143.4</v>
      </c>
      <c r="E287">
        <v>187.5</v>
      </c>
      <c r="F287">
        <v>173.4</v>
      </c>
      <c r="G287">
        <v>154</v>
      </c>
      <c r="H287">
        <v>154.80000000000001</v>
      </c>
      <c r="I287">
        <v>147</v>
      </c>
      <c r="J287">
        <v>187.8</v>
      </c>
      <c r="K287">
        <v>159.5</v>
      </c>
      <c r="L287">
        <v>113.8</v>
      </c>
      <c r="M287">
        <v>164.5</v>
      </c>
      <c r="N287">
        <v>156.1</v>
      </c>
      <c r="O287">
        <v>164.3</v>
      </c>
      <c r="P287">
        <v>159.6</v>
      </c>
      <c r="Q287">
        <f t="shared" si="12"/>
        <v>2065.6999999999998</v>
      </c>
      <c r="R287">
        <v>184.6</v>
      </c>
      <c r="S287">
        <v>157.5</v>
      </c>
      <c r="T287">
        <v>152.4</v>
      </c>
      <c r="U287">
        <v>156.80000000000001</v>
      </c>
      <c r="V287">
        <v>466.7</v>
      </c>
      <c r="W287">
        <v>157.69999999999999</v>
      </c>
      <c r="X287">
        <v>150.9</v>
      </c>
      <c r="Y287">
        <v>153.9</v>
      </c>
      <c r="Z287">
        <f t="shared" si="13"/>
        <v>311.60000000000002</v>
      </c>
      <c r="AA287">
        <v>162.5</v>
      </c>
      <c r="AB287">
        <v>147.5</v>
      </c>
      <c r="AC287">
        <v>155.1</v>
      </c>
      <c r="AD287">
        <v>163.5</v>
      </c>
      <c r="AE287">
        <v>156.19999999999999</v>
      </c>
      <c r="AF287">
        <f t="shared" si="14"/>
        <v>318.7</v>
      </c>
      <c r="AG287">
        <v>155.9</v>
      </c>
      <c r="AH287">
        <v>158.5</v>
      </c>
    </row>
    <row r="288" spans="1:34" x14ac:dyDescent="0.35">
      <c r="A288" t="s">
        <v>30</v>
      </c>
      <c r="B288">
        <v>2021</v>
      </c>
      <c r="C288" t="s">
        <v>29</v>
      </c>
      <c r="D288">
        <v>148</v>
      </c>
      <c r="E288">
        <v>194.8</v>
      </c>
      <c r="F288">
        <v>178.4</v>
      </c>
      <c r="G288">
        <v>154.4</v>
      </c>
      <c r="H288">
        <v>144.1</v>
      </c>
      <c r="I288">
        <v>152.6</v>
      </c>
      <c r="J288">
        <v>206.8</v>
      </c>
      <c r="K288">
        <v>162.1</v>
      </c>
      <c r="L288">
        <v>116.3</v>
      </c>
      <c r="M288">
        <v>163</v>
      </c>
      <c r="N288">
        <v>145.9</v>
      </c>
      <c r="O288">
        <v>167.2</v>
      </c>
      <c r="P288">
        <v>163.4</v>
      </c>
      <c r="Q288">
        <f t="shared" si="12"/>
        <v>2097</v>
      </c>
      <c r="R288">
        <v>191.8</v>
      </c>
      <c r="S288">
        <v>152.5</v>
      </c>
      <c r="T288">
        <v>137.30000000000001</v>
      </c>
      <c r="U288">
        <v>150.19999999999999</v>
      </c>
      <c r="V288">
        <v>440</v>
      </c>
      <c r="W288">
        <v>157.69999999999999</v>
      </c>
      <c r="X288">
        <v>142.9</v>
      </c>
      <c r="Y288">
        <v>145.69999999999999</v>
      </c>
      <c r="Z288">
        <f t="shared" si="13"/>
        <v>303.39999999999998</v>
      </c>
      <c r="AA288">
        <v>154.1</v>
      </c>
      <c r="AB288">
        <v>136.9</v>
      </c>
      <c r="AC288">
        <v>145.4</v>
      </c>
      <c r="AD288">
        <v>156.1</v>
      </c>
      <c r="AE288">
        <v>157.69999999999999</v>
      </c>
      <c r="AF288">
        <f t="shared" si="14"/>
        <v>311.79999999999995</v>
      </c>
      <c r="AG288">
        <v>147.6</v>
      </c>
      <c r="AH288">
        <v>156</v>
      </c>
    </row>
    <row r="289" spans="1:34" x14ac:dyDescent="0.35">
      <c r="A289" t="s">
        <v>31</v>
      </c>
      <c r="B289">
        <v>2021</v>
      </c>
      <c r="C289" t="s">
        <v>29</v>
      </c>
      <c r="D289">
        <v>144.9</v>
      </c>
      <c r="E289">
        <v>190.1</v>
      </c>
      <c r="F289">
        <v>175.3</v>
      </c>
      <c r="G289">
        <v>154.1</v>
      </c>
      <c r="H289">
        <v>150.9</v>
      </c>
      <c r="I289">
        <v>149.6</v>
      </c>
      <c r="J289">
        <v>194.2</v>
      </c>
      <c r="K289">
        <v>160.4</v>
      </c>
      <c r="L289">
        <v>114.6</v>
      </c>
      <c r="M289">
        <v>164</v>
      </c>
      <c r="N289">
        <v>151.80000000000001</v>
      </c>
      <c r="O289">
        <v>165.6</v>
      </c>
      <c r="P289">
        <v>161</v>
      </c>
      <c r="Q289">
        <f t="shared" si="12"/>
        <v>2076.5</v>
      </c>
      <c r="R289">
        <v>186.5</v>
      </c>
      <c r="S289">
        <v>155.5</v>
      </c>
      <c r="T289">
        <v>146.1</v>
      </c>
      <c r="U289">
        <v>154.19999999999999</v>
      </c>
      <c r="V289">
        <v>455.8</v>
      </c>
      <c r="W289">
        <v>157.69999999999999</v>
      </c>
      <c r="X289">
        <v>147.9</v>
      </c>
      <c r="Y289">
        <v>150</v>
      </c>
      <c r="Z289">
        <f t="shared" si="13"/>
        <v>307.7</v>
      </c>
      <c r="AA289">
        <v>159.30000000000001</v>
      </c>
      <c r="AB289">
        <v>141.9</v>
      </c>
      <c r="AC289">
        <v>149.6</v>
      </c>
      <c r="AD289">
        <v>159.19999999999999</v>
      </c>
      <c r="AE289">
        <v>156.80000000000001</v>
      </c>
      <c r="AF289">
        <f t="shared" si="14"/>
        <v>316.10000000000002</v>
      </c>
      <c r="AG289">
        <v>151.9</v>
      </c>
      <c r="AH289">
        <v>157.30000000000001</v>
      </c>
    </row>
    <row r="290" spans="1:34" x14ac:dyDescent="0.35">
      <c r="A290" t="s">
        <v>28</v>
      </c>
      <c r="B290">
        <v>2021</v>
      </c>
      <c r="C290" t="s">
        <v>32</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f t="shared" si="12"/>
        <v>2025.3</v>
      </c>
      <c r="R290">
        <v>186.5</v>
      </c>
      <c r="S290">
        <v>159.1</v>
      </c>
      <c r="T290">
        <v>153.9</v>
      </c>
      <c r="U290">
        <v>158.4</v>
      </c>
      <c r="V290">
        <v>471.4</v>
      </c>
      <c r="W290">
        <v>159.80000000000001</v>
      </c>
      <c r="X290">
        <v>154.4</v>
      </c>
      <c r="Y290">
        <v>154.80000000000001</v>
      </c>
      <c r="Z290">
        <f t="shared" si="13"/>
        <v>314.60000000000002</v>
      </c>
      <c r="AA290">
        <v>164.3</v>
      </c>
      <c r="AB290">
        <v>150.19999999999999</v>
      </c>
      <c r="AC290">
        <v>157</v>
      </c>
      <c r="AD290">
        <v>163.6</v>
      </c>
      <c r="AE290">
        <v>155.19999999999999</v>
      </c>
      <c r="AF290">
        <f t="shared" si="14"/>
        <v>319.5</v>
      </c>
      <c r="AG290">
        <v>157.19999999999999</v>
      </c>
      <c r="AH290">
        <v>156.69999999999999</v>
      </c>
    </row>
    <row r="291" spans="1:34" x14ac:dyDescent="0.35">
      <c r="A291" t="s">
        <v>30</v>
      </c>
      <c r="B291">
        <v>2021</v>
      </c>
      <c r="C291" t="s">
        <v>32</v>
      </c>
      <c r="D291">
        <v>147.6</v>
      </c>
      <c r="E291">
        <v>191.2</v>
      </c>
      <c r="F291">
        <v>169.9</v>
      </c>
      <c r="G291">
        <v>155.1</v>
      </c>
      <c r="H291">
        <v>151.4</v>
      </c>
      <c r="I291">
        <v>154</v>
      </c>
      <c r="J291">
        <v>180.2</v>
      </c>
      <c r="K291">
        <v>159.80000000000001</v>
      </c>
      <c r="L291">
        <v>114.9</v>
      </c>
      <c r="M291">
        <v>162.5</v>
      </c>
      <c r="N291">
        <v>149.19999999999999</v>
      </c>
      <c r="O291">
        <v>169.4</v>
      </c>
      <c r="P291">
        <v>160.80000000000001</v>
      </c>
      <c r="Q291">
        <f t="shared" si="12"/>
        <v>2066</v>
      </c>
      <c r="R291">
        <v>193.3</v>
      </c>
      <c r="S291">
        <v>154.19999999999999</v>
      </c>
      <c r="T291">
        <v>138.19999999999999</v>
      </c>
      <c r="U291">
        <v>151.80000000000001</v>
      </c>
      <c r="V291">
        <v>444.2</v>
      </c>
      <c r="W291">
        <v>159.80000000000001</v>
      </c>
      <c r="X291">
        <v>149.1</v>
      </c>
      <c r="Y291">
        <v>146.5</v>
      </c>
      <c r="Z291">
        <f t="shared" si="13"/>
        <v>306.3</v>
      </c>
      <c r="AA291">
        <v>156.30000000000001</v>
      </c>
      <c r="AB291">
        <v>140.5</v>
      </c>
      <c r="AC291">
        <v>147.30000000000001</v>
      </c>
      <c r="AD291">
        <v>156.6</v>
      </c>
      <c r="AE291">
        <v>156.69999999999999</v>
      </c>
      <c r="AF291">
        <f t="shared" si="14"/>
        <v>313</v>
      </c>
      <c r="AG291">
        <v>149.30000000000001</v>
      </c>
      <c r="AH291">
        <v>156.5</v>
      </c>
    </row>
    <row r="292" spans="1:34" x14ac:dyDescent="0.35">
      <c r="A292" t="s">
        <v>31</v>
      </c>
      <c r="B292">
        <v>2021</v>
      </c>
      <c r="C292" t="s">
        <v>32</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f t="shared" si="12"/>
        <v>2039.3000000000002</v>
      </c>
      <c r="R292">
        <v>188.3</v>
      </c>
      <c r="S292">
        <v>157.19999999999999</v>
      </c>
      <c r="T292">
        <v>147.4</v>
      </c>
      <c r="U292">
        <v>155.80000000000001</v>
      </c>
      <c r="V292">
        <v>460.40000000000003</v>
      </c>
      <c r="W292">
        <v>159.80000000000001</v>
      </c>
      <c r="X292">
        <v>152.4</v>
      </c>
      <c r="Y292">
        <v>150.9</v>
      </c>
      <c r="Z292">
        <f t="shared" si="13"/>
        <v>310.70000000000005</v>
      </c>
      <c r="AA292">
        <v>161.30000000000001</v>
      </c>
      <c r="AB292">
        <v>145.1</v>
      </c>
      <c r="AC292">
        <v>151.5</v>
      </c>
      <c r="AD292">
        <v>159.5</v>
      </c>
      <c r="AE292">
        <v>155.80000000000001</v>
      </c>
      <c r="AF292">
        <f t="shared" si="14"/>
        <v>317.10000000000002</v>
      </c>
      <c r="AG292">
        <v>153.4</v>
      </c>
      <c r="AH292">
        <v>156.6</v>
      </c>
    </row>
    <row r="293" spans="1:34" x14ac:dyDescent="0.35">
      <c r="A293" t="s">
        <v>28</v>
      </c>
      <c r="B293">
        <v>2021</v>
      </c>
      <c r="C293" t="s">
        <v>33</v>
      </c>
      <c r="D293">
        <v>142.5</v>
      </c>
      <c r="E293">
        <v>189.4</v>
      </c>
      <c r="F293">
        <v>163.19999999999999</v>
      </c>
      <c r="G293">
        <v>154.5</v>
      </c>
      <c r="H293">
        <v>168.2</v>
      </c>
      <c r="I293">
        <v>150.5</v>
      </c>
      <c r="J293">
        <v>141</v>
      </c>
      <c r="K293">
        <v>159.19999999999999</v>
      </c>
      <c r="L293">
        <v>111.7</v>
      </c>
      <c r="M293">
        <v>164</v>
      </c>
      <c r="N293">
        <v>160.6</v>
      </c>
      <c r="O293">
        <v>166.4</v>
      </c>
      <c r="P293">
        <v>154.5</v>
      </c>
      <c r="Q293">
        <f t="shared" si="12"/>
        <v>2025.7</v>
      </c>
      <c r="R293">
        <v>186.1</v>
      </c>
      <c r="S293">
        <v>159.6</v>
      </c>
      <c r="T293">
        <v>154.4</v>
      </c>
      <c r="U293">
        <v>158.9</v>
      </c>
      <c r="V293">
        <v>472.9</v>
      </c>
      <c r="W293">
        <v>159.9</v>
      </c>
      <c r="X293">
        <v>156</v>
      </c>
      <c r="Y293">
        <v>154.80000000000001</v>
      </c>
      <c r="Z293">
        <f t="shared" si="13"/>
        <v>314.70000000000005</v>
      </c>
      <c r="AA293">
        <v>164.6</v>
      </c>
      <c r="AB293">
        <v>151.30000000000001</v>
      </c>
      <c r="AC293">
        <v>157.80000000000001</v>
      </c>
      <c r="AD293">
        <v>163.80000000000001</v>
      </c>
      <c r="AE293">
        <v>153.1</v>
      </c>
      <c r="AF293">
        <f t="shared" si="14"/>
        <v>317.7</v>
      </c>
      <c r="AG293">
        <v>157.30000000000001</v>
      </c>
      <c r="AH293">
        <v>156.69999999999999</v>
      </c>
    </row>
    <row r="294" spans="1:34" x14ac:dyDescent="0.35">
      <c r="A294" t="s">
        <v>30</v>
      </c>
      <c r="B294">
        <v>2021</v>
      </c>
      <c r="C294" t="s">
        <v>33</v>
      </c>
      <c r="D294">
        <v>147.5</v>
      </c>
      <c r="E294">
        <v>197.5</v>
      </c>
      <c r="F294">
        <v>164.7</v>
      </c>
      <c r="G294">
        <v>155.6</v>
      </c>
      <c r="H294">
        <v>156.4</v>
      </c>
      <c r="I294">
        <v>157.30000000000001</v>
      </c>
      <c r="J294">
        <v>166.1</v>
      </c>
      <c r="K294">
        <v>161.1</v>
      </c>
      <c r="L294">
        <v>114.3</v>
      </c>
      <c r="M294">
        <v>162.6</v>
      </c>
      <c r="N294">
        <v>150.69999999999999</v>
      </c>
      <c r="O294">
        <v>170.3</v>
      </c>
      <c r="P294">
        <v>160.4</v>
      </c>
      <c r="Q294">
        <f t="shared" si="12"/>
        <v>2064.4999999999995</v>
      </c>
      <c r="R294">
        <v>193.5</v>
      </c>
      <c r="S294">
        <v>155.1</v>
      </c>
      <c r="T294">
        <v>138.69999999999999</v>
      </c>
      <c r="U294">
        <v>152.6</v>
      </c>
      <c r="V294">
        <v>446.4</v>
      </c>
      <c r="W294">
        <v>159.9</v>
      </c>
      <c r="X294">
        <v>154.80000000000001</v>
      </c>
      <c r="Y294">
        <v>147.19999999999999</v>
      </c>
      <c r="Z294">
        <f t="shared" si="13"/>
        <v>307.10000000000002</v>
      </c>
      <c r="AA294">
        <v>156.9</v>
      </c>
      <c r="AB294">
        <v>141.69999999999999</v>
      </c>
      <c r="AC294">
        <v>148.6</v>
      </c>
      <c r="AD294">
        <v>157.6</v>
      </c>
      <c r="AE294">
        <v>154.9</v>
      </c>
      <c r="AF294">
        <f t="shared" si="14"/>
        <v>311.8</v>
      </c>
      <c r="AG294">
        <v>150</v>
      </c>
      <c r="AH294">
        <v>156.9</v>
      </c>
    </row>
    <row r="295" spans="1:34" x14ac:dyDescent="0.35">
      <c r="A295" t="s">
        <v>31</v>
      </c>
      <c r="B295">
        <v>2021</v>
      </c>
      <c r="C295" t="s">
        <v>33</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f t="shared" si="12"/>
        <v>2039.3999999999999</v>
      </c>
      <c r="R295">
        <v>188.1</v>
      </c>
      <c r="S295">
        <v>157.80000000000001</v>
      </c>
      <c r="T295">
        <v>147.9</v>
      </c>
      <c r="U295">
        <v>156.4</v>
      </c>
      <c r="V295">
        <v>462.1</v>
      </c>
      <c r="W295">
        <v>159.9</v>
      </c>
      <c r="X295">
        <v>155.5</v>
      </c>
      <c r="Y295">
        <v>151.19999999999999</v>
      </c>
      <c r="Z295">
        <f t="shared" si="13"/>
        <v>311.10000000000002</v>
      </c>
      <c r="AA295">
        <v>161.69999999999999</v>
      </c>
      <c r="AB295">
        <v>146.19999999999999</v>
      </c>
      <c r="AC295">
        <v>152.6</v>
      </c>
      <c r="AD295">
        <v>160.19999999999999</v>
      </c>
      <c r="AE295">
        <v>153.80000000000001</v>
      </c>
      <c r="AF295">
        <f t="shared" si="14"/>
        <v>315.5</v>
      </c>
      <c r="AG295">
        <v>153.80000000000001</v>
      </c>
      <c r="AH295">
        <v>156.80000000000001</v>
      </c>
    </row>
    <row r="296" spans="1:34" x14ac:dyDescent="0.35">
      <c r="A296" t="s">
        <v>28</v>
      </c>
      <c r="B296">
        <v>2021</v>
      </c>
      <c r="C296" t="s">
        <v>34</v>
      </c>
      <c r="D296">
        <v>142.69999999999999</v>
      </c>
      <c r="E296">
        <v>195.5</v>
      </c>
      <c r="F296">
        <v>163.4</v>
      </c>
      <c r="G296">
        <v>155</v>
      </c>
      <c r="H296">
        <v>175.2</v>
      </c>
      <c r="I296">
        <v>160.6</v>
      </c>
      <c r="J296">
        <v>135.1</v>
      </c>
      <c r="K296">
        <v>161.1</v>
      </c>
      <c r="L296">
        <v>112.2</v>
      </c>
      <c r="M296">
        <v>164.4</v>
      </c>
      <c r="N296">
        <v>161.9</v>
      </c>
      <c r="O296">
        <v>166.8</v>
      </c>
      <c r="P296">
        <v>155.6</v>
      </c>
      <c r="Q296">
        <f t="shared" si="12"/>
        <v>2049.5</v>
      </c>
      <c r="R296">
        <v>186.8</v>
      </c>
      <c r="S296">
        <v>160.69999999999999</v>
      </c>
      <c r="T296">
        <v>155.1</v>
      </c>
      <c r="U296">
        <v>159.9</v>
      </c>
      <c r="V296">
        <v>475.69999999999993</v>
      </c>
      <c r="W296">
        <v>161.4</v>
      </c>
      <c r="X296">
        <v>156</v>
      </c>
      <c r="Y296">
        <v>155.5</v>
      </c>
      <c r="Z296">
        <f t="shared" si="13"/>
        <v>316.89999999999998</v>
      </c>
      <c r="AA296">
        <v>165.3</v>
      </c>
      <c r="AB296">
        <v>151.69999999999999</v>
      </c>
      <c r="AC296">
        <v>158.6</v>
      </c>
      <c r="AD296">
        <v>164.1</v>
      </c>
      <c r="AE296">
        <v>154.6</v>
      </c>
      <c r="AF296">
        <f t="shared" si="14"/>
        <v>319.89999999999998</v>
      </c>
      <c r="AG296">
        <v>158</v>
      </c>
      <c r="AH296">
        <v>157.6</v>
      </c>
    </row>
    <row r="297" spans="1:34" x14ac:dyDescent="0.35">
      <c r="A297" t="s">
        <v>30</v>
      </c>
      <c r="B297">
        <v>2021</v>
      </c>
      <c r="C297" t="s">
        <v>34</v>
      </c>
      <c r="D297">
        <v>147.6</v>
      </c>
      <c r="E297">
        <v>202.5</v>
      </c>
      <c r="F297">
        <v>166.4</v>
      </c>
      <c r="G297">
        <v>156</v>
      </c>
      <c r="H297">
        <v>161.4</v>
      </c>
      <c r="I297">
        <v>168.8</v>
      </c>
      <c r="J297">
        <v>161.6</v>
      </c>
      <c r="K297">
        <v>162.80000000000001</v>
      </c>
      <c r="L297">
        <v>114.8</v>
      </c>
      <c r="M297">
        <v>162.80000000000001</v>
      </c>
      <c r="N297">
        <v>151.5</v>
      </c>
      <c r="O297">
        <v>171.4</v>
      </c>
      <c r="P297">
        <v>162</v>
      </c>
      <c r="Q297">
        <f t="shared" si="12"/>
        <v>2089.6</v>
      </c>
      <c r="R297">
        <v>194.4</v>
      </c>
      <c r="S297">
        <v>155.9</v>
      </c>
      <c r="T297">
        <v>139.30000000000001</v>
      </c>
      <c r="U297">
        <v>153.4</v>
      </c>
      <c r="V297">
        <v>448.6</v>
      </c>
      <c r="W297">
        <v>161.4</v>
      </c>
      <c r="X297">
        <v>154.9</v>
      </c>
      <c r="Y297">
        <v>147.6</v>
      </c>
      <c r="Z297">
        <f t="shared" si="13"/>
        <v>309</v>
      </c>
      <c r="AA297">
        <v>157.5</v>
      </c>
      <c r="AB297">
        <v>142.1</v>
      </c>
      <c r="AC297">
        <v>149.1</v>
      </c>
      <c r="AD297">
        <v>157.6</v>
      </c>
      <c r="AE297">
        <v>156.6</v>
      </c>
      <c r="AF297">
        <f t="shared" si="14"/>
        <v>314.10000000000002</v>
      </c>
      <c r="AG297">
        <v>150.5</v>
      </c>
      <c r="AH297">
        <v>158</v>
      </c>
    </row>
    <row r="298" spans="1:34" x14ac:dyDescent="0.35">
      <c r="A298" t="s">
        <v>31</v>
      </c>
      <c r="B298">
        <v>2021</v>
      </c>
      <c r="C298" t="s">
        <v>34</v>
      </c>
      <c r="D298">
        <v>144.30000000000001</v>
      </c>
      <c r="E298">
        <v>198</v>
      </c>
      <c r="F298">
        <v>164.6</v>
      </c>
      <c r="G298">
        <v>155.4</v>
      </c>
      <c r="H298">
        <v>170.1</v>
      </c>
      <c r="I298">
        <v>164.4</v>
      </c>
      <c r="J298">
        <v>144.1</v>
      </c>
      <c r="K298">
        <v>161.69999999999999</v>
      </c>
      <c r="L298">
        <v>113.1</v>
      </c>
      <c r="M298">
        <v>163.9</v>
      </c>
      <c r="N298">
        <v>157.6</v>
      </c>
      <c r="O298">
        <v>168.9</v>
      </c>
      <c r="P298">
        <v>158</v>
      </c>
      <c r="Q298">
        <f t="shared" si="12"/>
        <v>2064.1</v>
      </c>
      <c r="R298">
        <v>188.8</v>
      </c>
      <c r="S298">
        <v>158.80000000000001</v>
      </c>
      <c r="T298">
        <v>148.5</v>
      </c>
      <c r="U298">
        <v>157.30000000000001</v>
      </c>
      <c r="V298">
        <v>464.6</v>
      </c>
      <c r="W298">
        <v>161.4</v>
      </c>
      <c r="X298">
        <v>155.6</v>
      </c>
      <c r="Y298">
        <v>151.80000000000001</v>
      </c>
      <c r="Z298">
        <f t="shared" si="13"/>
        <v>313.20000000000005</v>
      </c>
      <c r="AA298">
        <v>162.30000000000001</v>
      </c>
      <c r="AB298">
        <v>146.6</v>
      </c>
      <c r="AC298">
        <v>153.19999999999999</v>
      </c>
      <c r="AD298">
        <v>160.30000000000001</v>
      </c>
      <c r="AE298">
        <v>155.4</v>
      </c>
      <c r="AF298">
        <f t="shared" si="14"/>
        <v>317.70000000000005</v>
      </c>
      <c r="AG298">
        <v>154.4</v>
      </c>
      <c r="AH298">
        <v>157.80000000000001</v>
      </c>
    </row>
    <row r="299" spans="1:34" x14ac:dyDescent="0.35">
      <c r="A299" t="s">
        <v>28</v>
      </c>
      <c r="B299">
        <v>2021</v>
      </c>
      <c r="C299" t="s">
        <v>35</v>
      </c>
      <c r="D299">
        <v>145.1</v>
      </c>
      <c r="E299">
        <v>198.5</v>
      </c>
      <c r="F299">
        <v>168.6</v>
      </c>
      <c r="G299">
        <v>155.80000000000001</v>
      </c>
      <c r="H299">
        <v>184.4</v>
      </c>
      <c r="I299">
        <v>162.30000000000001</v>
      </c>
      <c r="J299">
        <v>138.4</v>
      </c>
      <c r="K299">
        <v>165.1</v>
      </c>
      <c r="L299">
        <v>114.3</v>
      </c>
      <c r="M299">
        <v>169.7</v>
      </c>
      <c r="N299">
        <v>164.6</v>
      </c>
      <c r="O299">
        <v>169.8</v>
      </c>
      <c r="P299">
        <v>158.69999999999999</v>
      </c>
      <c r="Q299">
        <f t="shared" si="12"/>
        <v>2095.2999999999997</v>
      </c>
      <c r="R299">
        <v>189.6</v>
      </c>
      <c r="S299">
        <v>165.3</v>
      </c>
      <c r="T299">
        <v>160.6</v>
      </c>
      <c r="U299">
        <v>164.5</v>
      </c>
      <c r="V299">
        <v>490.4</v>
      </c>
      <c r="W299">
        <v>161.6</v>
      </c>
      <c r="X299">
        <v>161.69999999999999</v>
      </c>
      <c r="Y299">
        <v>158.80000000000001</v>
      </c>
      <c r="Z299">
        <f t="shared" si="13"/>
        <v>320.39999999999998</v>
      </c>
      <c r="AA299">
        <v>169.1</v>
      </c>
      <c r="AB299">
        <v>153.19999999999999</v>
      </c>
      <c r="AC299">
        <v>160</v>
      </c>
      <c r="AD299">
        <v>167.6</v>
      </c>
      <c r="AE299">
        <v>159.30000000000001</v>
      </c>
      <c r="AF299">
        <f t="shared" si="14"/>
        <v>328.4</v>
      </c>
      <c r="AG299">
        <v>161.1</v>
      </c>
      <c r="AH299">
        <v>161.1</v>
      </c>
    </row>
    <row r="300" spans="1:34" x14ac:dyDescent="0.35">
      <c r="A300" t="s">
        <v>30</v>
      </c>
      <c r="B300">
        <v>2021</v>
      </c>
      <c r="C300" t="s">
        <v>35</v>
      </c>
      <c r="D300">
        <v>148.80000000000001</v>
      </c>
      <c r="E300">
        <v>204.3</v>
      </c>
      <c r="F300">
        <v>173</v>
      </c>
      <c r="G300">
        <v>156.5</v>
      </c>
      <c r="H300">
        <v>168.8</v>
      </c>
      <c r="I300">
        <v>172.5</v>
      </c>
      <c r="J300">
        <v>166.5</v>
      </c>
      <c r="K300">
        <v>165.9</v>
      </c>
      <c r="L300">
        <v>115.9</v>
      </c>
      <c r="M300">
        <v>165.2</v>
      </c>
      <c r="N300">
        <v>152</v>
      </c>
      <c r="O300">
        <v>171.1</v>
      </c>
      <c r="P300">
        <v>164.2</v>
      </c>
      <c r="Q300">
        <f t="shared" si="12"/>
        <v>2124.7000000000003</v>
      </c>
      <c r="R300">
        <v>198.2</v>
      </c>
      <c r="S300">
        <v>156.5</v>
      </c>
      <c r="T300">
        <v>140.19999999999999</v>
      </c>
      <c r="U300">
        <v>154.1</v>
      </c>
      <c r="V300">
        <v>450.79999999999995</v>
      </c>
      <c r="W300">
        <v>161.6</v>
      </c>
      <c r="X300">
        <v>155.5</v>
      </c>
      <c r="Y300">
        <v>150.1</v>
      </c>
      <c r="Z300">
        <f t="shared" si="13"/>
        <v>311.7</v>
      </c>
      <c r="AA300">
        <v>160.4</v>
      </c>
      <c r="AB300">
        <v>145</v>
      </c>
      <c r="AC300">
        <v>152.6</v>
      </c>
      <c r="AD300">
        <v>156.6</v>
      </c>
      <c r="AE300">
        <v>157.5</v>
      </c>
      <c r="AF300">
        <f t="shared" si="14"/>
        <v>317.89999999999998</v>
      </c>
      <c r="AG300">
        <v>152.30000000000001</v>
      </c>
      <c r="AH300">
        <v>159.5</v>
      </c>
    </row>
    <row r="301" spans="1:34" x14ac:dyDescent="0.35">
      <c r="A301" t="s">
        <v>31</v>
      </c>
      <c r="B301">
        <v>2021</v>
      </c>
      <c r="C301" t="s">
        <v>35</v>
      </c>
      <c r="D301">
        <v>146.30000000000001</v>
      </c>
      <c r="E301">
        <v>200.5</v>
      </c>
      <c r="F301">
        <v>170.3</v>
      </c>
      <c r="G301">
        <v>156.1</v>
      </c>
      <c r="H301">
        <v>178.7</v>
      </c>
      <c r="I301">
        <v>167.1</v>
      </c>
      <c r="J301">
        <v>147.9</v>
      </c>
      <c r="K301">
        <v>165.4</v>
      </c>
      <c r="L301">
        <v>114.8</v>
      </c>
      <c r="M301">
        <v>168.2</v>
      </c>
      <c r="N301">
        <v>159.30000000000001</v>
      </c>
      <c r="O301">
        <v>170.4</v>
      </c>
      <c r="P301">
        <v>160.69999999999999</v>
      </c>
      <c r="Q301">
        <f t="shared" si="12"/>
        <v>2105.7000000000003</v>
      </c>
      <c r="R301">
        <v>191.9</v>
      </c>
      <c r="S301">
        <v>161.80000000000001</v>
      </c>
      <c r="T301">
        <v>152.1</v>
      </c>
      <c r="U301">
        <v>160.4</v>
      </c>
      <c r="V301">
        <v>474.29999999999995</v>
      </c>
      <c r="W301">
        <v>161.6</v>
      </c>
      <c r="X301">
        <v>159.4</v>
      </c>
      <c r="Y301">
        <v>154.69999999999999</v>
      </c>
      <c r="Z301">
        <f t="shared" si="13"/>
        <v>316.29999999999995</v>
      </c>
      <c r="AA301">
        <v>165.8</v>
      </c>
      <c r="AB301">
        <v>148.9</v>
      </c>
      <c r="AC301">
        <v>155.80000000000001</v>
      </c>
      <c r="AD301">
        <v>161.19999999999999</v>
      </c>
      <c r="AE301">
        <v>158.6</v>
      </c>
      <c r="AF301">
        <f t="shared" si="14"/>
        <v>324.39999999999998</v>
      </c>
      <c r="AG301">
        <v>156.80000000000001</v>
      </c>
      <c r="AH301">
        <v>160.4</v>
      </c>
    </row>
    <row r="302" spans="1:34" x14ac:dyDescent="0.35">
      <c r="A302" t="s">
        <v>28</v>
      </c>
      <c r="B302">
        <v>2021</v>
      </c>
      <c r="C302" t="s">
        <v>36</v>
      </c>
      <c r="D302">
        <v>145.6</v>
      </c>
      <c r="E302">
        <v>200.1</v>
      </c>
      <c r="F302">
        <v>179.3</v>
      </c>
      <c r="G302">
        <v>156.1</v>
      </c>
      <c r="H302">
        <v>190.4</v>
      </c>
      <c r="I302">
        <v>158.6</v>
      </c>
      <c r="J302">
        <v>144.69999999999999</v>
      </c>
      <c r="K302">
        <v>165.5</v>
      </c>
      <c r="L302">
        <v>114.6</v>
      </c>
      <c r="M302">
        <v>170</v>
      </c>
      <c r="N302">
        <v>165.5</v>
      </c>
      <c r="O302">
        <v>171.7</v>
      </c>
      <c r="P302">
        <v>160.5</v>
      </c>
      <c r="Q302">
        <f t="shared" si="12"/>
        <v>2122.6</v>
      </c>
      <c r="R302">
        <v>189.1</v>
      </c>
      <c r="S302">
        <v>165.3</v>
      </c>
      <c r="T302">
        <v>159.9</v>
      </c>
      <c r="U302">
        <v>164.6</v>
      </c>
      <c r="V302">
        <v>489.80000000000007</v>
      </c>
      <c r="W302">
        <v>160.5</v>
      </c>
      <c r="X302">
        <v>162.1</v>
      </c>
      <c r="Y302">
        <v>159.19999999999999</v>
      </c>
      <c r="Z302">
        <f t="shared" si="13"/>
        <v>319.7</v>
      </c>
      <c r="AA302">
        <v>169.7</v>
      </c>
      <c r="AB302">
        <v>154.19999999999999</v>
      </c>
      <c r="AC302">
        <v>160.4</v>
      </c>
      <c r="AD302">
        <v>166.8</v>
      </c>
      <c r="AE302">
        <v>159.4</v>
      </c>
      <c r="AF302">
        <f t="shared" si="14"/>
        <v>329.1</v>
      </c>
      <c r="AG302">
        <v>161.5</v>
      </c>
      <c r="AH302">
        <v>162.1</v>
      </c>
    </row>
    <row r="303" spans="1:34" x14ac:dyDescent="0.35">
      <c r="A303" t="s">
        <v>30</v>
      </c>
      <c r="B303">
        <v>2021</v>
      </c>
      <c r="C303" t="s">
        <v>36</v>
      </c>
      <c r="D303">
        <v>149.19999999999999</v>
      </c>
      <c r="E303">
        <v>205.5</v>
      </c>
      <c r="F303">
        <v>182.8</v>
      </c>
      <c r="G303">
        <v>156.5</v>
      </c>
      <c r="H303">
        <v>172.2</v>
      </c>
      <c r="I303">
        <v>171.5</v>
      </c>
      <c r="J303">
        <v>176.2</v>
      </c>
      <c r="K303">
        <v>166.9</v>
      </c>
      <c r="L303">
        <v>116.1</v>
      </c>
      <c r="M303">
        <v>165.5</v>
      </c>
      <c r="N303">
        <v>152.30000000000001</v>
      </c>
      <c r="O303">
        <v>173.3</v>
      </c>
      <c r="P303">
        <v>166.2</v>
      </c>
      <c r="Q303">
        <f t="shared" si="12"/>
        <v>2154.1999999999998</v>
      </c>
      <c r="R303">
        <v>195.6</v>
      </c>
      <c r="S303">
        <v>157.30000000000001</v>
      </c>
      <c r="T303">
        <v>140.5</v>
      </c>
      <c r="U303">
        <v>154.80000000000001</v>
      </c>
      <c r="V303">
        <v>452.6</v>
      </c>
      <c r="W303">
        <v>160.5</v>
      </c>
      <c r="X303">
        <v>156.1</v>
      </c>
      <c r="Y303">
        <v>149.80000000000001</v>
      </c>
      <c r="Z303">
        <f t="shared" si="13"/>
        <v>310.3</v>
      </c>
      <c r="AA303">
        <v>160.80000000000001</v>
      </c>
      <c r="AB303">
        <v>147.5</v>
      </c>
      <c r="AC303">
        <v>150.69999999999999</v>
      </c>
      <c r="AD303">
        <v>158.1</v>
      </c>
      <c r="AE303">
        <v>158</v>
      </c>
      <c r="AF303">
        <f t="shared" si="14"/>
        <v>318.8</v>
      </c>
      <c r="AG303">
        <v>153.4</v>
      </c>
      <c r="AH303">
        <v>160.4</v>
      </c>
    </row>
    <row r="304" spans="1:34" x14ac:dyDescent="0.35">
      <c r="A304" t="s">
        <v>31</v>
      </c>
      <c r="B304">
        <v>2021</v>
      </c>
      <c r="C304" t="s">
        <v>36</v>
      </c>
      <c r="D304">
        <v>146.69999999999999</v>
      </c>
      <c r="E304">
        <v>202</v>
      </c>
      <c r="F304">
        <v>180.7</v>
      </c>
      <c r="G304">
        <v>156.19999999999999</v>
      </c>
      <c r="H304">
        <v>183.7</v>
      </c>
      <c r="I304">
        <v>164.6</v>
      </c>
      <c r="J304">
        <v>155.4</v>
      </c>
      <c r="K304">
        <v>166</v>
      </c>
      <c r="L304">
        <v>115.1</v>
      </c>
      <c r="M304">
        <v>168.5</v>
      </c>
      <c r="N304">
        <v>160</v>
      </c>
      <c r="O304">
        <v>172.4</v>
      </c>
      <c r="P304">
        <v>162.6</v>
      </c>
      <c r="Q304">
        <f t="shared" si="12"/>
        <v>2133.9</v>
      </c>
      <c r="R304">
        <v>190.8</v>
      </c>
      <c r="S304">
        <v>162.19999999999999</v>
      </c>
      <c r="T304">
        <v>151.80000000000001</v>
      </c>
      <c r="U304">
        <v>160.69999999999999</v>
      </c>
      <c r="V304">
        <v>474.7</v>
      </c>
      <c r="W304">
        <v>160.5</v>
      </c>
      <c r="X304">
        <v>159.80000000000001</v>
      </c>
      <c r="Y304">
        <v>154.80000000000001</v>
      </c>
      <c r="Z304">
        <f t="shared" si="13"/>
        <v>315.3</v>
      </c>
      <c r="AA304">
        <v>166.3</v>
      </c>
      <c r="AB304">
        <v>150.69999999999999</v>
      </c>
      <c r="AC304">
        <v>154.9</v>
      </c>
      <c r="AD304">
        <v>161.69999999999999</v>
      </c>
      <c r="AE304">
        <v>158.80000000000001</v>
      </c>
      <c r="AF304">
        <f t="shared" si="14"/>
        <v>325.10000000000002</v>
      </c>
      <c r="AG304">
        <v>157.6</v>
      </c>
      <c r="AH304">
        <v>161.30000000000001</v>
      </c>
    </row>
    <row r="305" spans="1:34" x14ac:dyDescent="0.35">
      <c r="A305" t="s">
        <v>28</v>
      </c>
      <c r="B305">
        <v>2021</v>
      </c>
      <c r="C305" t="s">
        <v>37</v>
      </c>
      <c r="D305">
        <v>145.1</v>
      </c>
      <c r="E305">
        <v>204.5</v>
      </c>
      <c r="F305">
        <v>180.4</v>
      </c>
      <c r="G305">
        <v>157.1</v>
      </c>
      <c r="H305">
        <v>188.7</v>
      </c>
      <c r="I305">
        <v>157.69999999999999</v>
      </c>
      <c r="J305">
        <v>152.80000000000001</v>
      </c>
      <c r="K305">
        <v>163.6</v>
      </c>
      <c r="L305">
        <v>113.9</v>
      </c>
      <c r="M305">
        <v>169.7</v>
      </c>
      <c r="N305">
        <v>166.2</v>
      </c>
      <c r="O305">
        <v>171</v>
      </c>
      <c r="P305">
        <v>161.69999999999999</v>
      </c>
      <c r="Q305">
        <f t="shared" si="12"/>
        <v>2132.4</v>
      </c>
      <c r="R305">
        <v>189.7</v>
      </c>
      <c r="S305">
        <v>166</v>
      </c>
      <c r="T305">
        <v>161.1</v>
      </c>
      <c r="U305">
        <v>165.3</v>
      </c>
      <c r="V305">
        <v>492.40000000000003</v>
      </c>
      <c r="W305">
        <v>161.5</v>
      </c>
      <c r="X305">
        <v>162.5</v>
      </c>
      <c r="Y305">
        <v>160.30000000000001</v>
      </c>
      <c r="Z305">
        <f t="shared" si="13"/>
        <v>321.8</v>
      </c>
      <c r="AA305">
        <v>170.4</v>
      </c>
      <c r="AB305">
        <v>157.1</v>
      </c>
      <c r="AC305">
        <v>160.69999999999999</v>
      </c>
      <c r="AD305">
        <v>167.2</v>
      </c>
      <c r="AE305">
        <v>160.4</v>
      </c>
      <c r="AF305">
        <f t="shared" si="14"/>
        <v>330.8</v>
      </c>
      <c r="AG305">
        <v>162.80000000000001</v>
      </c>
      <c r="AH305">
        <v>163.19999999999999</v>
      </c>
    </row>
    <row r="306" spans="1:34" x14ac:dyDescent="0.35">
      <c r="A306" t="s">
        <v>30</v>
      </c>
      <c r="B306">
        <v>2021</v>
      </c>
      <c r="C306" t="s">
        <v>37</v>
      </c>
      <c r="D306">
        <v>149.1</v>
      </c>
      <c r="E306">
        <v>210.9</v>
      </c>
      <c r="F306">
        <v>185</v>
      </c>
      <c r="G306">
        <v>158.19999999999999</v>
      </c>
      <c r="H306">
        <v>170.6</v>
      </c>
      <c r="I306">
        <v>170.9</v>
      </c>
      <c r="J306">
        <v>186.4</v>
      </c>
      <c r="K306">
        <v>164.7</v>
      </c>
      <c r="L306">
        <v>115.7</v>
      </c>
      <c r="M306">
        <v>165.5</v>
      </c>
      <c r="N306">
        <v>153.4</v>
      </c>
      <c r="O306">
        <v>173.5</v>
      </c>
      <c r="P306">
        <v>167.9</v>
      </c>
      <c r="Q306">
        <f t="shared" si="12"/>
        <v>2171.8000000000002</v>
      </c>
      <c r="R306">
        <v>195.5</v>
      </c>
      <c r="S306">
        <v>157.9</v>
      </c>
      <c r="T306">
        <v>141.9</v>
      </c>
      <c r="U306">
        <v>155.5</v>
      </c>
      <c r="V306">
        <v>455.3</v>
      </c>
      <c r="W306">
        <v>161.5</v>
      </c>
      <c r="X306">
        <v>157.69999999999999</v>
      </c>
      <c r="Y306">
        <v>150.69999999999999</v>
      </c>
      <c r="Z306">
        <f t="shared" si="13"/>
        <v>312.2</v>
      </c>
      <c r="AA306">
        <v>161.5</v>
      </c>
      <c r="AB306">
        <v>149.5</v>
      </c>
      <c r="AC306">
        <v>151.19999999999999</v>
      </c>
      <c r="AD306">
        <v>160.30000000000001</v>
      </c>
      <c r="AE306">
        <v>159.6</v>
      </c>
      <c r="AF306">
        <f t="shared" si="14"/>
        <v>321.10000000000002</v>
      </c>
      <c r="AG306">
        <v>155</v>
      </c>
      <c r="AH306">
        <v>161.80000000000001</v>
      </c>
    </row>
    <row r="307" spans="1:34" x14ac:dyDescent="0.35">
      <c r="A307" t="s">
        <v>31</v>
      </c>
      <c r="B307">
        <v>2021</v>
      </c>
      <c r="C307" t="s">
        <v>37</v>
      </c>
      <c r="D307">
        <v>146.4</v>
      </c>
      <c r="E307">
        <v>206.8</v>
      </c>
      <c r="F307">
        <v>182.2</v>
      </c>
      <c r="G307">
        <v>157.5</v>
      </c>
      <c r="H307">
        <v>182.1</v>
      </c>
      <c r="I307">
        <v>163.9</v>
      </c>
      <c r="J307">
        <v>164.2</v>
      </c>
      <c r="K307">
        <v>164</v>
      </c>
      <c r="L307">
        <v>114.5</v>
      </c>
      <c r="M307">
        <v>168.3</v>
      </c>
      <c r="N307">
        <v>160.9</v>
      </c>
      <c r="O307">
        <v>172.2</v>
      </c>
      <c r="P307">
        <v>164</v>
      </c>
      <c r="Q307">
        <f t="shared" si="12"/>
        <v>2147</v>
      </c>
      <c r="R307">
        <v>191.2</v>
      </c>
      <c r="S307">
        <v>162.80000000000001</v>
      </c>
      <c r="T307">
        <v>153.1</v>
      </c>
      <c r="U307">
        <v>161.4</v>
      </c>
      <c r="V307">
        <v>477.29999999999995</v>
      </c>
      <c r="W307">
        <v>161.5</v>
      </c>
      <c r="X307">
        <v>160.69999999999999</v>
      </c>
      <c r="Y307">
        <v>155.80000000000001</v>
      </c>
      <c r="Z307">
        <f t="shared" si="13"/>
        <v>317.3</v>
      </c>
      <c r="AA307">
        <v>167</v>
      </c>
      <c r="AB307">
        <v>153.1</v>
      </c>
      <c r="AC307">
        <v>155.30000000000001</v>
      </c>
      <c r="AD307">
        <v>163.19999999999999</v>
      </c>
      <c r="AE307">
        <v>160.1</v>
      </c>
      <c r="AF307">
        <f t="shared" si="14"/>
        <v>327.10000000000002</v>
      </c>
      <c r="AG307">
        <v>159</v>
      </c>
      <c r="AH307">
        <v>162.5</v>
      </c>
    </row>
    <row r="308" spans="1:34" x14ac:dyDescent="0.35">
      <c r="A308" t="s">
        <v>28</v>
      </c>
      <c r="B308">
        <v>2021</v>
      </c>
      <c r="C308" t="s">
        <v>38</v>
      </c>
      <c r="D308">
        <v>144.9</v>
      </c>
      <c r="E308">
        <v>202.3</v>
      </c>
      <c r="F308">
        <v>176.5</v>
      </c>
      <c r="G308">
        <v>157.5</v>
      </c>
      <c r="H308">
        <v>190.9</v>
      </c>
      <c r="I308">
        <v>155.69999999999999</v>
      </c>
      <c r="J308">
        <v>153.9</v>
      </c>
      <c r="K308">
        <v>162.80000000000001</v>
      </c>
      <c r="L308">
        <v>115.2</v>
      </c>
      <c r="M308">
        <v>169.8</v>
      </c>
      <c r="N308">
        <v>167.6</v>
      </c>
      <c r="O308">
        <v>171.9</v>
      </c>
      <c r="P308">
        <v>161.80000000000001</v>
      </c>
      <c r="Q308">
        <f t="shared" si="12"/>
        <v>2130.8000000000002</v>
      </c>
      <c r="R308">
        <v>190.2</v>
      </c>
      <c r="S308">
        <v>167</v>
      </c>
      <c r="T308">
        <v>162.6</v>
      </c>
      <c r="U308">
        <v>166.3</v>
      </c>
      <c r="V308">
        <v>495.90000000000003</v>
      </c>
      <c r="W308">
        <v>162.1</v>
      </c>
      <c r="X308">
        <v>163.1</v>
      </c>
      <c r="Y308">
        <v>160.9</v>
      </c>
      <c r="Z308">
        <f t="shared" si="13"/>
        <v>323</v>
      </c>
      <c r="AA308">
        <v>171.1</v>
      </c>
      <c r="AB308">
        <v>157.69999999999999</v>
      </c>
      <c r="AC308">
        <v>161.1</v>
      </c>
      <c r="AD308">
        <v>167.5</v>
      </c>
      <c r="AE308">
        <v>160.30000000000001</v>
      </c>
      <c r="AF308">
        <f t="shared" si="14"/>
        <v>331.4</v>
      </c>
      <c r="AG308">
        <v>163.30000000000001</v>
      </c>
      <c r="AH308">
        <v>163.6</v>
      </c>
    </row>
    <row r="309" spans="1:34" x14ac:dyDescent="0.35">
      <c r="A309" t="s">
        <v>30</v>
      </c>
      <c r="B309">
        <v>2021</v>
      </c>
      <c r="C309" t="s">
        <v>38</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f t="shared" si="12"/>
        <v>2157.9</v>
      </c>
      <c r="R309">
        <v>196.5</v>
      </c>
      <c r="S309">
        <v>159.80000000000001</v>
      </c>
      <c r="T309">
        <v>143.6</v>
      </c>
      <c r="U309">
        <v>157.30000000000001</v>
      </c>
      <c r="V309">
        <v>460.7</v>
      </c>
      <c r="W309">
        <v>162.1</v>
      </c>
      <c r="X309">
        <v>160.69999999999999</v>
      </c>
      <c r="Y309">
        <v>153.19999999999999</v>
      </c>
      <c r="Z309">
        <f t="shared" si="13"/>
        <v>315.29999999999995</v>
      </c>
      <c r="AA309">
        <v>162.80000000000001</v>
      </c>
      <c r="AB309">
        <v>150.4</v>
      </c>
      <c r="AC309">
        <v>153.69999999999999</v>
      </c>
      <c r="AD309">
        <v>160.4</v>
      </c>
      <c r="AE309">
        <v>159.6</v>
      </c>
      <c r="AF309">
        <f t="shared" si="14"/>
        <v>322.39999999999998</v>
      </c>
      <c r="AG309">
        <v>156</v>
      </c>
      <c r="AH309">
        <v>162.30000000000001</v>
      </c>
    </row>
    <row r="310" spans="1:34" x14ac:dyDescent="0.35">
      <c r="A310" t="s">
        <v>31</v>
      </c>
      <c r="B310">
        <v>2021</v>
      </c>
      <c r="C310" t="s">
        <v>38</v>
      </c>
      <c r="D310">
        <v>146.6</v>
      </c>
      <c r="E310">
        <v>204</v>
      </c>
      <c r="F310">
        <v>172.8</v>
      </c>
      <c r="G310">
        <v>158.4</v>
      </c>
      <c r="H310">
        <v>188</v>
      </c>
      <c r="I310">
        <v>156.80000000000001</v>
      </c>
      <c r="J310">
        <v>162.19999999999999</v>
      </c>
      <c r="K310">
        <v>164.1</v>
      </c>
      <c r="L310">
        <v>119.7</v>
      </c>
      <c r="M310">
        <v>168.8</v>
      </c>
      <c r="N310">
        <v>162.69999999999999</v>
      </c>
      <c r="O310">
        <v>173.9</v>
      </c>
      <c r="P310">
        <v>164</v>
      </c>
      <c r="Q310">
        <f t="shared" si="12"/>
        <v>2142</v>
      </c>
      <c r="R310">
        <v>192.1</v>
      </c>
      <c r="S310">
        <v>164.5</v>
      </c>
      <c r="T310">
        <v>155.30000000000001</v>
      </c>
      <c r="U310">
        <v>163.19999999999999</v>
      </c>
      <c r="V310">
        <v>483</v>
      </c>
      <c r="W310">
        <v>162.1</v>
      </c>
      <c r="X310">
        <v>162.6</v>
      </c>
      <c r="Y310">
        <v>157.5</v>
      </c>
      <c r="Z310">
        <f t="shared" si="13"/>
        <v>319.60000000000002</v>
      </c>
      <c r="AA310">
        <v>168.4</v>
      </c>
      <c r="AB310">
        <v>154</v>
      </c>
      <c r="AC310">
        <v>157.6</v>
      </c>
      <c r="AD310">
        <v>163.80000000000001</v>
      </c>
      <c r="AE310">
        <v>160</v>
      </c>
      <c r="AF310">
        <f t="shared" si="14"/>
        <v>328.4</v>
      </c>
      <c r="AG310">
        <v>160</v>
      </c>
      <c r="AH310">
        <v>163.19999999999999</v>
      </c>
    </row>
    <row r="311" spans="1:34" x14ac:dyDescent="0.35">
      <c r="A311" t="s">
        <v>28</v>
      </c>
      <c r="B311">
        <v>2021</v>
      </c>
      <c r="C311" t="s">
        <v>39</v>
      </c>
      <c r="D311">
        <v>145.4</v>
      </c>
      <c r="E311">
        <v>202.1</v>
      </c>
      <c r="F311">
        <v>172</v>
      </c>
      <c r="G311">
        <v>158</v>
      </c>
      <c r="H311">
        <v>195.5</v>
      </c>
      <c r="I311">
        <v>152.69999999999999</v>
      </c>
      <c r="J311">
        <v>151.4</v>
      </c>
      <c r="K311">
        <v>163.9</v>
      </c>
      <c r="L311">
        <v>119.3</v>
      </c>
      <c r="M311">
        <v>170.1</v>
      </c>
      <c r="N311">
        <v>168.3</v>
      </c>
      <c r="O311">
        <v>172.8</v>
      </c>
      <c r="P311">
        <v>162.1</v>
      </c>
      <c r="Q311">
        <f t="shared" si="12"/>
        <v>2133.6</v>
      </c>
      <c r="R311">
        <v>190.5</v>
      </c>
      <c r="S311">
        <v>167.7</v>
      </c>
      <c r="T311">
        <v>163.6</v>
      </c>
      <c r="U311">
        <v>167.1</v>
      </c>
      <c r="V311">
        <v>498.4</v>
      </c>
      <c r="W311">
        <v>162.1</v>
      </c>
      <c r="X311">
        <v>163.69999999999999</v>
      </c>
      <c r="Y311">
        <v>161.30000000000001</v>
      </c>
      <c r="Z311">
        <f t="shared" si="13"/>
        <v>323.39999999999998</v>
      </c>
      <c r="AA311">
        <v>171.9</v>
      </c>
      <c r="AB311">
        <v>157.80000000000001</v>
      </c>
      <c r="AC311">
        <v>162.69999999999999</v>
      </c>
      <c r="AD311">
        <v>168.5</v>
      </c>
      <c r="AE311">
        <v>160.19999999999999</v>
      </c>
      <c r="AF311">
        <f t="shared" si="14"/>
        <v>332.1</v>
      </c>
      <c r="AG311">
        <v>163.80000000000001</v>
      </c>
      <c r="AH311">
        <v>164</v>
      </c>
    </row>
    <row r="312" spans="1:34" x14ac:dyDescent="0.35">
      <c r="A312" t="s">
        <v>30</v>
      </c>
      <c r="B312">
        <v>2021</v>
      </c>
      <c r="C312" t="s">
        <v>39</v>
      </c>
      <c r="D312">
        <v>149.30000000000001</v>
      </c>
      <c r="E312">
        <v>207.4</v>
      </c>
      <c r="F312">
        <v>174.1</v>
      </c>
      <c r="G312">
        <v>159.1</v>
      </c>
      <c r="H312">
        <v>175</v>
      </c>
      <c r="I312">
        <v>161.19999999999999</v>
      </c>
      <c r="J312">
        <v>183.5</v>
      </c>
      <c r="K312">
        <v>164.5</v>
      </c>
      <c r="L312">
        <v>120.4</v>
      </c>
      <c r="M312">
        <v>166.2</v>
      </c>
      <c r="N312">
        <v>154.80000000000001</v>
      </c>
      <c r="O312">
        <v>175.1</v>
      </c>
      <c r="P312">
        <v>167.3</v>
      </c>
      <c r="Q312">
        <f t="shared" si="12"/>
        <v>2157.9</v>
      </c>
      <c r="R312">
        <v>196.5</v>
      </c>
      <c r="S312">
        <v>159.80000000000001</v>
      </c>
      <c r="T312">
        <v>143.6</v>
      </c>
      <c r="U312">
        <v>157.4</v>
      </c>
      <c r="V312">
        <v>460.79999999999995</v>
      </c>
      <c r="W312">
        <v>162.1</v>
      </c>
      <c r="X312">
        <v>160.80000000000001</v>
      </c>
      <c r="Y312">
        <v>153.30000000000001</v>
      </c>
      <c r="Z312">
        <f t="shared" si="13"/>
        <v>315.39999999999998</v>
      </c>
      <c r="AA312">
        <v>162.80000000000001</v>
      </c>
      <c r="AB312">
        <v>150.5</v>
      </c>
      <c r="AC312">
        <v>153.9</v>
      </c>
      <c r="AD312">
        <v>160.30000000000001</v>
      </c>
      <c r="AE312">
        <v>159.6</v>
      </c>
      <c r="AF312">
        <f t="shared" si="14"/>
        <v>322.39999999999998</v>
      </c>
      <c r="AG312">
        <v>156</v>
      </c>
      <c r="AH312">
        <v>162.30000000000001</v>
      </c>
    </row>
    <row r="313" spans="1:34" x14ac:dyDescent="0.35">
      <c r="A313" t="s">
        <v>31</v>
      </c>
      <c r="B313">
        <v>2021</v>
      </c>
      <c r="C313" t="s">
        <v>39</v>
      </c>
      <c r="D313">
        <v>146.6</v>
      </c>
      <c r="E313">
        <v>204</v>
      </c>
      <c r="F313">
        <v>172.8</v>
      </c>
      <c r="G313">
        <v>158.4</v>
      </c>
      <c r="H313">
        <v>188</v>
      </c>
      <c r="I313">
        <v>156.69999999999999</v>
      </c>
      <c r="J313">
        <v>162.30000000000001</v>
      </c>
      <c r="K313">
        <v>164.1</v>
      </c>
      <c r="L313">
        <v>119.7</v>
      </c>
      <c r="M313">
        <v>168.8</v>
      </c>
      <c r="N313">
        <v>162.69999999999999</v>
      </c>
      <c r="O313">
        <v>173.9</v>
      </c>
      <c r="P313">
        <v>164</v>
      </c>
      <c r="Q313">
        <f t="shared" si="12"/>
        <v>2142</v>
      </c>
      <c r="R313">
        <v>192.1</v>
      </c>
      <c r="S313">
        <v>164.6</v>
      </c>
      <c r="T313">
        <v>155.30000000000001</v>
      </c>
      <c r="U313">
        <v>163.30000000000001</v>
      </c>
      <c r="V313">
        <v>483.2</v>
      </c>
      <c r="W313">
        <v>162.1</v>
      </c>
      <c r="X313">
        <v>162.6</v>
      </c>
      <c r="Y313">
        <v>157.5</v>
      </c>
      <c r="Z313">
        <f t="shared" si="13"/>
        <v>319.60000000000002</v>
      </c>
      <c r="AA313">
        <v>168.4</v>
      </c>
      <c r="AB313">
        <v>154</v>
      </c>
      <c r="AC313">
        <v>157.69999999999999</v>
      </c>
      <c r="AD313">
        <v>163.69999999999999</v>
      </c>
      <c r="AE313">
        <v>160</v>
      </c>
      <c r="AF313">
        <f t="shared" si="14"/>
        <v>328.4</v>
      </c>
      <c r="AG313">
        <v>160</v>
      </c>
      <c r="AH313">
        <v>163.19999999999999</v>
      </c>
    </row>
    <row r="314" spans="1:34" x14ac:dyDescent="0.35">
      <c r="A314" t="s">
        <v>28</v>
      </c>
      <c r="B314">
        <v>2021</v>
      </c>
      <c r="C314" t="s">
        <v>40</v>
      </c>
      <c r="D314">
        <v>146.1</v>
      </c>
      <c r="E314">
        <v>202.5</v>
      </c>
      <c r="F314">
        <v>170.1</v>
      </c>
      <c r="G314">
        <v>158.4</v>
      </c>
      <c r="H314">
        <v>198.8</v>
      </c>
      <c r="I314">
        <v>152.6</v>
      </c>
      <c r="J314">
        <v>170.4</v>
      </c>
      <c r="K314">
        <v>165.2</v>
      </c>
      <c r="L314">
        <v>121.6</v>
      </c>
      <c r="M314">
        <v>170.6</v>
      </c>
      <c r="N314">
        <v>168.8</v>
      </c>
      <c r="O314">
        <v>173.6</v>
      </c>
      <c r="P314">
        <v>165.5</v>
      </c>
      <c r="Q314">
        <f t="shared" si="12"/>
        <v>2164.1999999999998</v>
      </c>
      <c r="R314">
        <v>191.2</v>
      </c>
      <c r="S314">
        <v>168.9</v>
      </c>
      <c r="T314">
        <v>164.8</v>
      </c>
      <c r="U314">
        <v>168.3</v>
      </c>
      <c r="V314">
        <v>502.00000000000006</v>
      </c>
      <c r="W314">
        <v>163.6</v>
      </c>
      <c r="X314">
        <v>165.5</v>
      </c>
      <c r="Y314">
        <v>162</v>
      </c>
      <c r="Z314">
        <f t="shared" si="13"/>
        <v>325.60000000000002</v>
      </c>
      <c r="AA314">
        <v>172.5</v>
      </c>
      <c r="AB314">
        <v>159.5</v>
      </c>
      <c r="AC314">
        <v>163.19999999999999</v>
      </c>
      <c r="AD314">
        <v>169</v>
      </c>
      <c r="AE314">
        <v>161.1</v>
      </c>
      <c r="AF314">
        <f t="shared" si="14"/>
        <v>333.6</v>
      </c>
      <c r="AG314">
        <v>164.7</v>
      </c>
      <c r="AH314">
        <v>166.3</v>
      </c>
    </row>
    <row r="315" spans="1:34" x14ac:dyDescent="0.35">
      <c r="A315" t="s">
        <v>30</v>
      </c>
      <c r="B315">
        <v>2021</v>
      </c>
      <c r="C315" t="s">
        <v>40</v>
      </c>
      <c r="D315">
        <v>150.1</v>
      </c>
      <c r="E315">
        <v>208.4</v>
      </c>
      <c r="F315">
        <v>173</v>
      </c>
      <c r="G315">
        <v>159.19999999999999</v>
      </c>
      <c r="H315">
        <v>176.6</v>
      </c>
      <c r="I315">
        <v>159.30000000000001</v>
      </c>
      <c r="J315">
        <v>214.4</v>
      </c>
      <c r="K315">
        <v>165.3</v>
      </c>
      <c r="L315">
        <v>122.5</v>
      </c>
      <c r="M315">
        <v>166.8</v>
      </c>
      <c r="N315">
        <v>155.4</v>
      </c>
      <c r="O315">
        <v>175.9</v>
      </c>
      <c r="P315">
        <v>171.5</v>
      </c>
      <c r="Q315">
        <f t="shared" si="12"/>
        <v>2198.4000000000005</v>
      </c>
      <c r="R315">
        <v>197</v>
      </c>
      <c r="S315">
        <v>160.80000000000001</v>
      </c>
      <c r="T315">
        <v>144.4</v>
      </c>
      <c r="U315">
        <v>158.30000000000001</v>
      </c>
      <c r="V315">
        <v>463.50000000000006</v>
      </c>
      <c r="W315">
        <v>163.6</v>
      </c>
      <c r="X315">
        <v>162.19999999999999</v>
      </c>
      <c r="Y315">
        <v>154.30000000000001</v>
      </c>
      <c r="Z315">
        <f t="shared" si="13"/>
        <v>317.89999999999998</v>
      </c>
      <c r="AA315">
        <v>163.5</v>
      </c>
      <c r="AB315">
        <v>152.19999999999999</v>
      </c>
      <c r="AC315">
        <v>155.1</v>
      </c>
      <c r="AD315">
        <v>160.30000000000001</v>
      </c>
      <c r="AE315">
        <v>160.30000000000001</v>
      </c>
      <c r="AF315">
        <f t="shared" si="14"/>
        <v>323.8</v>
      </c>
      <c r="AG315">
        <v>157</v>
      </c>
      <c r="AH315">
        <v>164.6</v>
      </c>
    </row>
    <row r="316" spans="1:34" x14ac:dyDescent="0.35">
      <c r="A316" t="s">
        <v>31</v>
      </c>
      <c r="B316">
        <v>2021</v>
      </c>
      <c r="C316" t="s">
        <v>40</v>
      </c>
      <c r="D316">
        <v>147.4</v>
      </c>
      <c r="E316">
        <v>204.6</v>
      </c>
      <c r="F316">
        <v>171.2</v>
      </c>
      <c r="G316">
        <v>158.69999999999999</v>
      </c>
      <c r="H316">
        <v>190.6</v>
      </c>
      <c r="I316">
        <v>155.69999999999999</v>
      </c>
      <c r="J316">
        <v>185.3</v>
      </c>
      <c r="K316">
        <v>165.2</v>
      </c>
      <c r="L316">
        <v>121.9</v>
      </c>
      <c r="M316">
        <v>169.3</v>
      </c>
      <c r="N316">
        <v>163.19999999999999</v>
      </c>
      <c r="O316">
        <v>174.7</v>
      </c>
      <c r="P316">
        <v>167.7</v>
      </c>
      <c r="Q316">
        <f t="shared" si="12"/>
        <v>2175.5</v>
      </c>
      <c r="R316">
        <v>192.7</v>
      </c>
      <c r="S316">
        <v>165.7</v>
      </c>
      <c r="T316">
        <v>156.30000000000001</v>
      </c>
      <c r="U316">
        <v>164.3</v>
      </c>
      <c r="V316">
        <v>486.3</v>
      </c>
      <c r="W316">
        <v>163.6</v>
      </c>
      <c r="X316">
        <v>164.2</v>
      </c>
      <c r="Y316">
        <v>158.4</v>
      </c>
      <c r="Z316">
        <f t="shared" si="13"/>
        <v>322</v>
      </c>
      <c r="AA316">
        <v>169.1</v>
      </c>
      <c r="AB316">
        <v>155.69999999999999</v>
      </c>
      <c r="AC316">
        <v>158.6</v>
      </c>
      <c r="AD316">
        <v>163.9</v>
      </c>
      <c r="AE316">
        <v>160.80000000000001</v>
      </c>
      <c r="AF316">
        <f t="shared" si="14"/>
        <v>329.9</v>
      </c>
      <c r="AG316">
        <v>161</v>
      </c>
      <c r="AH316">
        <v>165.5</v>
      </c>
    </row>
    <row r="317" spans="1:34" x14ac:dyDescent="0.35">
      <c r="A317" t="s">
        <v>28</v>
      </c>
      <c r="B317">
        <v>2021</v>
      </c>
      <c r="C317" t="s">
        <v>42</v>
      </c>
      <c r="D317">
        <v>146.9</v>
      </c>
      <c r="E317">
        <v>199.8</v>
      </c>
      <c r="F317">
        <v>171.5</v>
      </c>
      <c r="G317">
        <v>159.1</v>
      </c>
      <c r="H317">
        <v>198.4</v>
      </c>
      <c r="I317">
        <v>153.19999999999999</v>
      </c>
      <c r="J317">
        <v>183.9</v>
      </c>
      <c r="K317">
        <v>165.4</v>
      </c>
      <c r="L317">
        <v>122.1</v>
      </c>
      <c r="M317">
        <v>170.8</v>
      </c>
      <c r="N317">
        <v>169.1</v>
      </c>
      <c r="O317">
        <v>174.3</v>
      </c>
      <c r="P317">
        <v>167.5</v>
      </c>
      <c r="Q317">
        <f t="shared" si="12"/>
        <v>2182</v>
      </c>
      <c r="R317">
        <v>191.4</v>
      </c>
      <c r="S317">
        <v>170.4</v>
      </c>
      <c r="T317">
        <v>166</v>
      </c>
      <c r="U317">
        <v>169.8</v>
      </c>
      <c r="V317">
        <v>506.2</v>
      </c>
      <c r="W317">
        <v>164.2</v>
      </c>
      <c r="X317">
        <v>165.3</v>
      </c>
      <c r="Y317">
        <v>162.9</v>
      </c>
      <c r="Z317">
        <f t="shared" si="13"/>
        <v>327.10000000000002</v>
      </c>
      <c r="AA317">
        <v>173.4</v>
      </c>
      <c r="AB317">
        <v>158.9</v>
      </c>
      <c r="AC317">
        <v>163.80000000000001</v>
      </c>
      <c r="AD317">
        <v>169.3</v>
      </c>
      <c r="AE317">
        <v>162.4</v>
      </c>
      <c r="AF317">
        <f t="shared" si="14"/>
        <v>335.8</v>
      </c>
      <c r="AG317">
        <v>165.2</v>
      </c>
      <c r="AH317">
        <v>167.6</v>
      </c>
    </row>
    <row r="318" spans="1:34" x14ac:dyDescent="0.35">
      <c r="A318" t="s">
        <v>30</v>
      </c>
      <c r="B318">
        <v>2021</v>
      </c>
      <c r="C318" t="s">
        <v>42</v>
      </c>
      <c r="D318">
        <v>151</v>
      </c>
      <c r="E318">
        <v>204.9</v>
      </c>
      <c r="F318">
        <v>175.4</v>
      </c>
      <c r="G318">
        <v>159.6</v>
      </c>
      <c r="H318">
        <v>175.8</v>
      </c>
      <c r="I318">
        <v>160.30000000000001</v>
      </c>
      <c r="J318">
        <v>229.1</v>
      </c>
      <c r="K318">
        <v>165.1</v>
      </c>
      <c r="L318">
        <v>123.1</v>
      </c>
      <c r="M318">
        <v>167.2</v>
      </c>
      <c r="N318">
        <v>156.1</v>
      </c>
      <c r="O318">
        <v>176.8</v>
      </c>
      <c r="P318">
        <v>173.5</v>
      </c>
      <c r="Q318">
        <f t="shared" si="12"/>
        <v>2217.8999999999996</v>
      </c>
      <c r="R318">
        <v>197</v>
      </c>
      <c r="S318">
        <v>162.30000000000001</v>
      </c>
      <c r="T318">
        <v>145.30000000000001</v>
      </c>
      <c r="U318">
        <v>159.69999999999999</v>
      </c>
      <c r="V318">
        <v>467.3</v>
      </c>
      <c r="W318">
        <v>164.2</v>
      </c>
      <c r="X318">
        <v>161.6</v>
      </c>
      <c r="Y318">
        <v>155.19999999999999</v>
      </c>
      <c r="Z318">
        <f t="shared" si="13"/>
        <v>319.39999999999998</v>
      </c>
      <c r="AA318">
        <v>164.2</v>
      </c>
      <c r="AB318">
        <v>151.19999999999999</v>
      </c>
      <c r="AC318">
        <v>156.69999999999999</v>
      </c>
      <c r="AD318">
        <v>160.80000000000001</v>
      </c>
      <c r="AE318">
        <v>161.80000000000001</v>
      </c>
      <c r="AF318">
        <f t="shared" si="14"/>
        <v>326</v>
      </c>
      <c r="AG318">
        <v>157.30000000000001</v>
      </c>
      <c r="AH318">
        <v>165.6</v>
      </c>
    </row>
    <row r="319" spans="1:34" x14ac:dyDescent="0.35">
      <c r="A319" t="s">
        <v>31</v>
      </c>
      <c r="B319">
        <v>2021</v>
      </c>
      <c r="C319" t="s">
        <v>42</v>
      </c>
      <c r="D319">
        <v>148.19999999999999</v>
      </c>
      <c r="E319">
        <v>201.6</v>
      </c>
      <c r="F319">
        <v>173</v>
      </c>
      <c r="G319">
        <v>159.30000000000001</v>
      </c>
      <c r="H319">
        <v>190.1</v>
      </c>
      <c r="I319">
        <v>156.5</v>
      </c>
      <c r="J319">
        <v>199.2</v>
      </c>
      <c r="K319">
        <v>165.3</v>
      </c>
      <c r="L319">
        <v>122.4</v>
      </c>
      <c r="M319">
        <v>169.6</v>
      </c>
      <c r="N319">
        <v>163.69999999999999</v>
      </c>
      <c r="O319">
        <v>175.5</v>
      </c>
      <c r="P319">
        <v>169.7</v>
      </c>
      <c r="Q319">
        <f t="shared" si="12"/>
        <v>2194.1</v>
      </c>
      <c r="R319">
        <v>192.9</v>
      </c>
      <c r="S319">
        <v>167.2</v>
      </c>
      <c r="T319">
        <v>157.4</v>
      </c>
      <c r="U319">
        <v>165.8</v>
      </c>
      <c r="V319">
        <v>490.40000000000003</v>
      </c>
      <c r="W319">
        <v>164.2</v>
      </c>
      <c r="X319">
        <v>163.9</v>
      </c>
      <c r="Y319">
        <v>159.30000000000001</v>
      </c>
      <c r="Z319">
        <f t="shared" si="13"/>
        <v>323.5</v>
      </c>
      <c r="AA319">
        <v>169.9</v>
      </c>
      <c r="AB319">
        <v>154.80000000000001</v>
      </c>
      <c r="AC319">
        <v>159.80000000000001</v>
      </c>
      <c r="AD319">
        <v>164.3</v>
      </c>
      <c r="AE319">
        <v>162.19999999999999</v>
      </c>
      <c r="AF319">
        <f t="shared" si="14"/>
        <v>332.1</v>
      </c>
      <c r="AG319">
        <v>161.4</v>
      </c>
      <c r="AH319">
        <v>166.7</v>
      </c>
    </row>
    <row r="320" spans="1:34" x14ac:dyDescent="0.35">
      <c r="A320" t="s">
        <v>28</v>
      </c>
      <c r="B320">
        <v>2021</v>
      </c>
      <c r="C320" t="s">
        <v>43</v>
      </c>
      <c r="D320">
        <v>147.4</v>
      </c>
      <c r="E320">
        <v>197</v>
      </c>
      <c r="F320">
        <v>176.5</v>
      </c>
      <c r="G320">
        <v>159.80000000000001</v>
      </c>
      <c r="H320">
        <v>195.8</v>
      </c>
      <c r="I320">
        <v>152</v>
      </c>
      <c r="J320">
        <v>172.3</v>
      </c>
      <c r="K320">
        <v>164.5</v>
      </c>
      <c r="L320">
        <v>120.6</v>
      </c>
      <c r="M320">
        <v>171.7</v>
      </c>
      <c r="N320">
        <v>169.7</v>
      </c>
      <c r="O320">
        <v>175.1</v>
      </c>
      <c r="P320">
        <v>165.8</v>
      </c>
      <c r="Q320">
        <f t="shared" si="12"/>
        <v>2168.1999999999998</v>
      </c>
      <c r="R320">
        <v>190.8</v>
      </c>
      <c r="S320">
        <v>171.8</v>
      </c>
      <c r="T320">
        <v>167.3</v>
      </c>
      <c r="U320">
        <v>171.2</v>
      </c>
      <c r="V320">
        <v>510.3</v>
      </c>
      <c r="W320">
        <v>163.4</v>
      </c>
      <c r="X320">
        <v>165.6</v>
      </c>
      <c r="Y320">
        <v>163.9</v>
      </c>
      <c r="Z320">
        <f t="shared" si="13"/>
        <v>327.3</v>
      </c>
      <c r="AA320">
        <v>174</v>
      </c>
      <c r="AB320">
        <v>160.1</v>
      </c>
      <c r="AC320">
        <v>164.5</v>
      </c>
      <c r="AD320">
        <v>169.7</v>
      </c>
      <c r="AE320">
        <v>162.80000000000001</v>
      </c>
      <c r="AF320">
        <f t="shared" si="14"/>
        <v>336.8</v>
      </c>
      <c r="AG320">
        <v>166</v>
      </c>
      <c r="AH320">
        <v>167</v>
      </c>
    </row>
    <row r="321" spans="1:34" x14ac:dyDescent="0.35">
      <c r="A321" t="s">
        <v>30</v>
      </c>
      <c r="B321">
        <v>2021</v>
      </c>
      <c r="C321" t="s">
        <v>43</v>
      </c>
      <c r="D321">
        <v>151.6</v>
      </c>
      <c r="E321">
        <v>202.2</v>
      </c>
      <c r="F321">
        <v>180</v>
      </c>
      <c r="G321">
        <v>160</v>
      </c>
      <c r="H321">
        <v>173.5</v>
      </c>
      <c r="I321">
        <v>158.30000000000001</v>
      </c>
      <c r="J321">
        <v>219.5</v>
      </c>
      <c r="K321">
        <v>164.2</v>
      </c>
      <c r="L321">
        <v>121.9</v>
      </c>
      <c r="M321">
        <v>168.2</v>
      </c>
      <c r="N321">
        <v>156.5</v>
      </c>
      <c r="O321">
        <v>178.2</v>
      </c>
      <c r="P321">
        <v>172.2</v>
      </c>
      <c r="Q321">
        <f t="shared" si="12"/>
        <v>2206.3000000000002</v>
      </c>
      <c r="R321">
        <v>196.8</v>
      </c>
      <c r="S321">
        <v>163.30000000000001</v>
      </c>
      <c r="T321">
        <v>146.69999999999999</v>
      </c>
      <c r="U321">
        <v>160.69999999999999</v>
      </c>
      <c r="V321">
        <v>470.7</v>
      </c>
      <c r="W321">
        <v>163.4</v>
      </c>
      <c r="X321">
        <v>161.69999999999999</v>
      </c>
      <c r="Y321">
        <v>156</v>
      </c>
      <c r="Z321">
        <f t="shared" si="13"/>
        <v>319.39999999999998</v>
      </c>
      <c r="AA321">
        <v>165.1</v>
      </c>
      <c r="AB321">
        <v>151.80000000000001</v>
      </c>
      <c r="AC321">
        <v>157.6</v>
      </c>
      <c r="AD321">
        <v>160.6</v>
      </c>
      <c r="AE321">
        <v>162.4</v>
      </c>
      <c r="AF321">
        <f t="shared" si="14"/>
        <v>327.5</v>
      </c>
      <c r="AG321">
        <v>157.80000000000001</v>
      </c>
      <c r="AH321">
        <v>165.2</v>
      </c>
    </row>
    <row r="322" spans="1:34" x14ac:dyDescent="0.35">
      <c r="A322" t="s">
        <v>31</v>
      </c>
      <c r="B322">
        <v>2021</v>
      </c>
      <c r="C322" t="s">
        <v>43</v>
      </c>
      <c r="D322">
        <v>148.69999999999999</v>
      </c>
      <c r="E322">
        <v>198.8</v>
      </c>
      <c r="F322">
        <v>177.9</v>
      </c>
      <c r="G322">
        <v>159.9</v>
      </c>
      <c r="H322">
        <v>187.6</v>
      </c>
      <c r="I322">
        <v>154.9</v>
      </c>
      <c r="J322">
        <v>188.3</v>
      </c>
      <c r="K322">
        <v>164.4</v>
      </c>
      <c r="L322">
        <v>121</v>
      </c>
      <c r="M322">
        <v>170.5</v>
      </c>
      <c r="N322">
        <v>164.2</v>
      </c>
      <c r="O322">
        <v>176.5</v>
      </c>
      <c r="P322">
        <v>168.2</v>
      </c>
      <c r="Q322">
        <f t="shared" si="12"/>
        <v>2180.9</v>
      </c>
      <c r="R322">
        <v>192.4</v>
      </c>
      <c r="S322">
        <v>168.5</v>
      </c>
      <c r="T322">
        <v>158.69999999999999</v>
      </c>
      <c r="U322">
        <v>167</v>
      </c>
      <c r="V322">
        <v>494.2</v>
      </c>
      <c r="W322">
        <v>163.4</v>
      </c>
      <c r="X322">
        <v>164.1</v>
      </c>
      <c r="Y322">
        <v>160.19999999999999</v>
      </c>
      <c r="Z322">
        <f t="shared" si="13"/>
        <v>323.60000000000002</v>
      </c>
      <c r="AA322">
        <v>170.6</v>
      </c>
      <c r="AB322">
        <v>155.69999999999999</v>
      </c>
      <c r="AC322">
        <v>160.6</v>
      </c>
      <c r="AD322">
        <v>164.4</v>
      </c>
      <c r="AE322">
        <v>162.6</v>
      </c>
      <c r="AF322">
        <f t="shared" si="14"/>
        <v>333.2</v>
      </c>
      <c r="AG322">
        <v>162</v>
      </c>
      <c r="AH322">
        <v>166.2</v>
      </c>
    </row>
    <row r="323" spans="1:34" x14ac:dyDescent="0.35">
      <c r="A323" t="s">
        <v>28</v>
      </c>
      <c r="B323">
        <v>2022</v>
      </c>
      <c r="C323" t="s">
        <v>29</v>
      </c>
      <c r="D323">
        <v>148.30000000000001</v>
      </c>
      <c r="E323">
        <v>196.9</v>
      </c>
      <c r="F323">
        <v>178</v>
      </c>
      <c r="G323">
        <v>160.5</v>
      </c>
      <c r="H323">
        <v>192.6</v>
      </c>
      <c r="I323">
        <v>151.19999999999999</v>
      </c>
      <c r="J323">
        <v>159.19999999999999</v>
      </c>
      <c r="K323">
        <v>164</v>
      </c>
      <c r="L323">
        <v>119.3</v>
      </c>
      <c r="M323">
        <v>173.3</v>
      </c>
      <c r="N323">
        <v>169.8</v>
      </c>
      <c r="O323">
        <v>175.8</v>
      </c>
      <c r="P323">
        <v>164.1</v>
      </c>
      <c r="Q323">
        <f t="shared" ref="Q323:Q373" si="15">SUM(D323:P323)</f>
        <v>2153</v>
      </c>
      <c r="R323">
        <v>190.7</v>
      </c>
      <c r="S323">
        <v>173.2</v>
      </c>
      <c r="T323">
        <v>169.3</v>
      </c>
      <c r="U323">
        <v>172.7</v>
      </c>
      <c r="V323">
        <v>515.20000000000005</v>
      </c>
      <c r="W323">
        <v>164.5</v>
      </c>
      <c r="X323">
        <v>165.8</v>
      </c>
      <c r="Y323">
        <v>164.9</v>
      </c>
      <c r="Z323">
        <f t="shared" ref="Z323:Z373" si="16">W323+Y323</f>
        <v>329.4</v>
      </c>
      <c r="AA323">
        <v>174.7</v>
      </c>
      <c r="AB323">
        <v>160.80000000000001</v>
      </c>
      <c r="AC323">
        <v>164.9</v>
      </c>
      <c r="AD323">
        <v>169.9</v>
      </c>
      <c r="AE323">
        <v>163.19999999999999</v>
      </c>
      <c r="AF323">
        <f t="shared" ref="AF323:AF373" si="17">AA323+AE323</f>
        <v>337.9</v>
      </c>
      <c r="AG323">
        <v>166.6</v>
      </c>
      <c r="AH323">
        <v>166.4</v>
      </c>
    </row>
    <row r="324" spans="1:34" x14ac:dyDescent="0.35">
      <c r="A324" t="s">
        <v>30</v>
      </c>
      <c r="B324">
        <v>2022</v>
      </c>
      <c r="C324" t="s">
        <v>29</v>
      </c>
      <c r="D324">
        <v>152.19999999999999</v>
      </c>
      <c r="E324">
        <v>202.1</v>
      </c>
      <c r="F324">
        <v>180.1</v>
      </c>
      <c r="G324">
        <v>160.4</v>
      </c>
      <c r="H324">
        <v>171</v>
      </c>
      <c r="I324">
        <v>156.5</v>
      </c>
      <c r="J324">
        <v>203.6</v>
      </c>
      <c r="K324">
        <v>163.80000000000001</v>
      </c>
      <c r="L324">
        <v>121.3</v>
      </c>
      <c r="M324">
        <v>169.8</v>
      </c>
      <c r="N324">
        <v>156.6</v>
      </c>
      <c r="O324">
        <v>179</v>
      </c>
      <c r="P324">
        <v>170.3</v>
      </c>
      <c r="Q324">
        <f t="shared" si="15"/>
        <v>2186.6999999999998</v>
      </c>
      <c r="R324">
        <v>196.4</v>
      </c>
      <c r="S324">
        <v>164.7</v>
      </c>
      <c r="T324">
        <v>148.5</v>
      </c>
      <c r="U324">
        <v>162.19999999999999</v>
      </c>
      <c r="V324">
        <v>475.4</v>
      </c>
      <c r="W324">
        <v>164.5</v>
      </c>
      <c r="X324">
        <v>161.6</v>
      </c>
      <c r="Y324">
        <v>156.80000000000001</v>
      </c>
      <c r="Z324">
        <f t="shared" si="16"/>
        <v>321.3</v>
      </c>
      <c r="AA324">
        <v>166.1</v>
      </c>
      <c r="AB324">
        <v>152.69999999999999</v>
      </c>
      <c r="AC324">
        <v>158.4</v>
      </c>
      <c r="AD324">
        <v>161</v>
      </c>
      <c r="AE324">
        <v>162.80000000000001</v>
      </c>
      <c r="AF324">
        <f t="shared" si="17"/>
        <v>328.9</v>
      </c>
      <c r="AG324">
        <v>158.6</v>
      </c>
      <c r="AH324">
        <v>165</v>
      </c>
    </row>
    <row r="325" spans="1:34" x14ac:dyDescent="0.35">
      <c r="A325" t="s">
        <v>31</v>
      </c>
      <c r="B325">
        <v>2022</v>
      </c>
      <c r="C325" t="s">
        <v>29</v>
      </c>
      <c r="D325">
        <v>149.5</v>
      </c>
      <c r="E325">
        <v>198.7</v>
      </c>
      <c r="F325">
        <v>178.8</v>
      </c>
      <c r="G325">
        <v>160.5</v>
      </c>
      <c r="H325">
        <v>184.7</v>
      </c>
      <c r="I325">
        <v>153.69999999999999</v>
      </c>
      <c r="J325">
        <v>174.3</v>
      </c>
      <c r="K325">
        <v>163.9</v>
      </c>
      <c r="L325">
        <v>120</v>
      </c>
      <c r="M325">
        <v>172.1</v>
      </c>
      <c r="N325">
        <v>164.3</v>
      </c>
      <c r="O325">
        <v>177.3</v>
      </c>
      <c r="P325">
        <v>166.4</v>
      </c>
      <c r="Q325">
        <f t="shared" si="15"/>
        <v>2164.1999999999998</v>
      </c>
      <c r="R325">
        <v>192.2</v>
      </c>
      <c r="S325">
        <v>169.9</v>
      </c>
      <c r="T325">
        <v>160.69999999999999</v>
      </c>
      <c r="U325">
        <v>168.5</v>
      </c>
      <c r="V325">
        <v>499.1</v>
      </c>
      <c r="W325">
        <v>164.5</v>
      </c>
      <c r="X325">
        <v>164.2</v>
      </c>
      <c r="Y325">
        <v>161.1</v>
      </c>
      <c r="Z325">
        <f t="shared" si="16"/>
        <v>325.60000000000002</v>
      </c>
      <c r="AA325">
        <v>171.4</v>
      </c>
      <c r="AB325">
        <v>156.5</v>
      </c>
      <c r="AC325">
        <v>161.19999999999999</v>
      </c>
      <c r="AD325">
        <v>164.7</v>
      </c>
      <c r="AE325">
        <v>163</v>
      </c>
      <c r="AF325">
        <f t="shared" si="17"/>
        <v>334.4</v>
      </c>
      <c r="AG325">
        <v>162.69999999999999</v>
      </c>
      <c r="AH325">
        <v>165.7</v>
      </c>
    </row>
    <row r="326" spans="1:34" x14ac:dyDescent="0.35">
      <c r="A326" t="s">
        <v>28</v>
      </c>
      <c r="B326">
        <v>2022</v>
      </c>
      <c r="C326" t="s">
        <v>32</v>
      </c>
      <c r="D326">
        <v>148.80000000000001</v>
      </c>
      <c r="E326">
        <v>198.1</v>
      </c>
      <c r="F326">
        <v>175.5</v>
      </c>
      <c r="G326">
        <v>160.69999999999999</v>
      </c>
      <c r="H326">
        <v>192.6</v>
      </c>
      <c r="I326">
        <v>151.4</v>
      </c>
      <c r="J326">
        <v>155.19999999999999</v>
      </c>
      <c r="K326">
        <v>163.9</v>
      </c>
      <c r="L326">
        <v>118.1</v>
      </c>
      <c r="M326">
        <v>175.4</v>
      </c>
      <c r="N326">
        <v>170.5</v>
      </c>
      <c r="O326">
        <v>176.3</v>
      </c>
      <c r="P326">
        <v>163.9</v>
      </c>
      <c r="Q326">
        <f t="shared" si="15"/>
        <v>2150.4</v>
      </c>
      <c r="R326">
        <v>191.5</v>
      </c>
      <c r="S326">
        <v>174.1</v>
      </c>
      <c r="T326">
        <v>171</v>
      </c>
      <c r="U326">
        <v>173.7</v>
      </c>
      <c r="V326">
        <v>518.79999999999995</v>
      </c>
      <c r="W326">
        <v>165.5</v>
      </c>
      <c r="X326">
        <v>167.4</v>
      </c>
      <c r="Y326">
        <v>165.7</v>
      </c>
      <c r="Z326">
        <f t="shared" si="16"/>
        <v>331.2</v>
      </c>
      <c r="AA326">
        <v>175.3</v>
      </c>
      <c r="AB326">
        <v>161.19999999999999</v>
      </c>
      <c r="AC326">
        <v>165.5</v>
      </c>
      <c r="AD326">
        <v>170.3</v>
      </c>
      <c r="AE326">
        <v>164.5</v>
      </c>
      <c r="AF326">
        <f t="shared" si="17"/>
        <v>339.8</v>
      </c>
      <c r="AG326">
        <v>167.3</v>
      </c>
      <c r="AH326">
        <v>166.7</v>
      </c>
    </row>
    <row r="327" spans="1:34" x14ac:dyDescent="0.35">
      <c r="A327" t="s">
        <v>30</v>
      </c>
      <c r="B327">
        <v>2022</v>
      </c>
      <c r="C327" t="s">
        <v>32</v>
      </c>
      <c r="D327">
        <v>152.5</v>
      </c>
      <c r="E327">
        <v>205.2</v>
      </c>
      <c r="F327">
        <v>176.4</v>
      </c>
      <c r="G327">
        <v>160.6</v>
      </c>
      <c r="H327">
        <v>171.5</v>
      </c>
      <c r="I327">
        <v>156.4</v>
      </c>
      <c r="J327">
        <v>198</v>
      </c>
      <c r="K327">
        <v>163.19999999999999</v>
      </c>
      <c r="L327">
        <v>120.6</v>
      </c>
      <c r="M327">
        <v>172.2</v>
      </c>
      <c r="N327">
        <v>156.69999999999999</v>
      </c>
      <c r="O327">
        <v>180</v>
      </c>
      <c r="P327">
        <v>170.2</v>
      </c>
      <c r="Q327">
        <f t="shared" si="15"/>
        <v>2183.5</v>
      </c>
      <c r="R327">
        <v>196.5</v>
      </c>
      <c r="S327">
        <v>165.7</v>
      </c>
      <c r="T327">
        <v>150.4</v>
      </c>
      <c r="U327">
        <v>163.4</v>
      </c>
      <c r="V327">
        <v>479.5</v>
      </c>
      <c r="W327">
        <v>165.5</v>
      </c>
      <c r="X327">
        <v>163</v>
      </c>
      <c r="Y327">
        <v>157.4</v>
      </c>
      <c r="Z327">
        <f t="shared" si="16"/>
        <v>322.89999999999998</v>
      </c>
      <c r="AA327">
        <v>167.2</v>
      </c>
      <c r="AB327">
        <v>153.1</v>
      </c>
      <c r="AC327">
        <v>159.5</v>
      </c>
      <c r="AD327">
        <v>162</v>
      </c>
      <c r="AE327">
        <v>164.2</v>
      </c>
      <c r="AF327">
        <f t="shared" si="17"/>
        <v>331.4</v>
      </c>
      <c r="AG327">
        <v>159.4</v>
      </c>
      <c r="AH327">
        <v>165.5</v>
      </c>
    </row>
    <row r="328" spans="1:34" x14ac:dyDescent="0.35">
      <c r="A328" t="s">
        <v>31</v>
      </c>
      <c r="B328">
        <v>2022</v>
      </c>
      <c r="C328" t="s">
        <v>32</v>
      </c>
      <c r="D328">
        <v>150</v>
      </c>
      <c r="E328">
        <v>200.6</v>
      </c>
      <c r="F328">
        <v>175.8</v>
      </c>
      <c r="G328">
        <v>160.69999999999999</v>
      </c>
      <c r="H328">
        <v>184.9</v>
      </c>
      <c r="I328">
        <v>153.69999999999999</v>
      </c>
      <c r="J328">
        <v>169.7</v>
      </c>
      <c r="K328">
        <v>163.69999999999999</v>
      </c>
      <c r="L328">
        <v>118.9</v>
      </c>
      <c r="M328">
        <v>174.3</v>
      </c>
      <c r="N328">
        <v>164.7</v>
      </c>
      <c r="O328">
        <v>178</v>
      </c>
      <c r="P328">
        <v>166.2</v>
      </c>
      <c r="Q328">
        <f t="shared" si="15"/>
        <v>2161.2000000000003</v>
      </c>
      <c r="R328">
        <v>192.8</v>
      </c>
      <c r="S328">
        <v>170.8</v>
      </c>
      <c r="T328">
        <v>162.4</v>
      </c>
      <c r="U328">
        <v>169.6</v>
      </c>
      <c r="V328">
        <v>502.80000000000007</v>
      </c>
      <c r="W328">
        <v>165.5</v>
      </c>
      <c r="X328">
        <v>165.7</v>
      </c>
      <c r="Y328">
        <v>161.80000000000001</v>
      </c>
      <c r="Z328">
        <f t="shared" si="16"/>
        <v>327.3</v>
      </c>
      <c r="AA328">
        <v>172.2</v>
      </c>
      <c r="AB328">
        <v>156.9</v>
      </c>
      <c r="AC328">
        <v>162.1</v>
      </c>
      <c r="AD328">
        <v>165.4</v>
      </c>
      <c r="AE328">
        <v>164.4</v>
      </c>
      <c r="AF328">
        <f t="shared" si="17"/>
        <v>336.6</v>
      </c>
      <c r="AG328">
        <v>163.5</v>
      </c>
      <c r="AH328">
        <v>166.1</v>
      </c>
    </row>
    <row r="329" spans="1:34" x14ac:dyDescent="0.35">
      <c r="A329" t="s">
        <v>28</v>
      </c>
      <c r="B329">
        <v>2022</v>
      </c>
      <c r="C329" t="s">
        <v>33</v>
      </c>
      <c r="D329">
        <v>150.19999999999999</v>
      </c>
      <c r="E329">
        <v>208</v>
      </c>
      <c r="F329">
        <v>167.9</v>
      </c>
      <c r="G329">
        <v>162</v>
      </c>
      <c r="H329">
        <v>203.1</v>
      </c>
      <c r="I329">
        <v>155.9</v>
      </c>
      <c r="J329">
        <v>155.80000000000001</v>
      </c>
      <c r="K329">
        <v>164.2</v>
      </c>
      <c r="L329">
        <v>118.1</v>
      </c>
      <c r="M329">
        <v>178.7</v>
      </c>
      <c r="N329">
        <v>171.2</v>
      </c>
      <c r="O329">
        <v>177.4</v>
      </c>
      <c r="P329">
        <v>166.6</v>
      </c>
      <c r="Q329">
        <f t="shared" si="15"/>
        <v>2179.1000000000004</v>
      </c>
      <c r="R329">
        <v>192.3</v>
      </c>
      <c r="S329">
        <v>175.4</v>
      </c>
      <c r="T329">
        <v>173.2</v>
      </c>
      <c r="U329">
        <v>175.1</v>
      </c>
      <c r="V329">
        <v>523.70000000000005</v>
      </c>
      <c r="W329">
        <v>165.3</v>
      </c>
      <c r="X329">
        <v>168.9</v>
      </c>
      <c r="Y329">
        <v>166.5</v>
      </c>
      <c r="Z329">
        <f t="shared" si="16"/>
        <v>331.8</v>
      </c>
      <c r="AA329">
        <v>176</v>
      </c>
      <c r="AB329">
        <v>162</v>
      </c>
      <c r="AC329">
        <v>166.6</v>
      </c>
      <c r="AD329">
        <v>170.6</v>
      </c>
      <c r="AE329">
        <v>167.4</v>
      </c>
      <c r="AF329">
        <f t="shared" si="17"/>
        <v>343.4</v>
      </c>
      <c r="AG329">
        <v>168.3</v>
      </c>
      <c r="AH329">
        <v>168.7</v>
      </c>
    </row>
    <row r="330" spans="1:34" x14ac:dyDescent="0.35">
      <c r="A330" t="s">
        <v>30</v>
      </c>
      <c r="B330">
        <v>2022</v>
      </c>
      <c r="C330" t="s">
        <v>33</v>
      </c>
      <c r="D330">
        <v>153.69999999999999</v>
      </c>
      <c r="E330">
        <v>215.8</v>
      </c>
      <c r="F330">
        <v>167.7</v>
      </c>
      <c r="G330">
        <v>162.6</v>
      </c>
      <c r="H330">
        <v>180</v>
      </c>
      <c r="I330">
        <v>159.6</v>
      </c>
      <c r="J330">
        <v>188.4</v>
      </c>
      <c r="K330">
        <v>163.4</v>
      </c>
      <c r="L330">
        <v>120.3</v>
      </c>
      <c r="M330">
        <v>174.7</v>
      </c>
      <c r="N330">
        <v>157.1</v>
      </c>
      <c r="O330">
        <v>181.5</v>
      </c>
      <c r="P330">
        <v>171.5</v>
      </c>
      <c r="Q330">
        <f t="shared" si="15"/>
        <v>2196.3000000000002</v>
      </c>
      <c r="R330">
        <v>197.5</v>
      </c>
      <c r="S330">
        <v>167.1</v>
      </c>
      <c r="T330">
        <v>152.6</v>
      </c>
      <c r="U330">
        <v>164.9</v>
      </c>
      <c r="V330">
        <v>484.6</v>
      </c>
      <c r="W330">
        <v>165.3</v>
      </c>
      <c r="X330">
        <v>164.5</v>
      </c>
      <c r="Y330">
        <v>158.6</v>
      </c>
      <c r="Z330">
        <f t="shared" si="16"/>
        <v>323.89999999999998</v>
      </c>
      <c r="AA330">
        <v>168.2</v>
      </c>
      <c r="AB330">
        <v>154.19999999999999</v>
      </c>
      <c r="AC330">
        <v>160.80000000000001</v>
      </c>
      <c r="AD330">
        <v>162.69999999999999</v>
      </c>
      <c r="AE330">
        <v>166.8</v>
      </c>
      <c r="AF330">
        <f t="shared" si="17"/>
        <v>335</v>
      </c>
      <c r="AG330">
        <v>160.6</v>
      </c>
      <c r="AH330">
        <v>166.5</v>
      </c>
    </row>
    <row r="331" spans="1:34" x14ac:dyDescent="0.35">
      <c r="A331" t="s">
        <v>31</v>
      </c>
      <c r="B331">
        <v>2022</v>
      </c>
      <c r="C331" t="s">
        <v>33</v>
      </c>
      <c r="D331">
        <v>151.30000000000001</v>
      </c>
      <c r="E331">
        <v>210.7</v>
      </c>
      <c r="F331">
        <v>167.8</v>
      </c>
      <c r="G331">
        <v>162.19999999999999</v>
      </c>
      <c r="H331">
        <v>194.6</v>
      </c>
      <c r="I331">
        <v>157.6</v>
      </c>
      <c r="J331">
        <v>166.9</v>
      </c>
      <c r="K331">
        <v>163.9</v>
      </c>
      <c r="L331">
        <v>118.8</v>
      </c>
      <c r="M331">
        <v>177.4</v>
      </c>
      <c r="N331">
        <v>165.3</v>
      </c>
      <c r="O331">
        <v>179.3</v>
      </c>
      <c r="P331">
        <v>168.4</v>
      </c>
      <c r="Q331">
        <f t="shared" si="15"/>
        <v>2184.2000000000003</v>
      </c>
      <c r="R331">
        <v>193.7</v>
      </c>
      <c r="S331">
        <v>172.1</v>
      </c>
      <c r="T331">
        <v>164.6</v>
      </c>
      <c r="U331">
        <v>171.1</v>
      </c>
      <c r="V331">
        <v>507.79999999999995</v>
      </c>
      <c r="W331">
        <v>165.3</v>
      </c>
      <c r="X331">
        <v>167.2</v>
      </c>
      <c r="Y331">
        <v>162.80000000000001</v>
      </c>
      <c r="Z331">
        <f t="shared" si="16"/>
        <v>328.1</v>
      </c>
      <c r="AA331">
        <v>173</v>
      </c>
      <c r="AB331">
        <v>157.9</v>
      </c>
      <c r="AC331">
        <v>163.30000000000001</v>
      </c>
      <c r="AD331">
        <v>166</v>
      </c>
      <c r="AE331">
        <v>167.2</v>
      </c>
      <c r="AF331">
        <f t="shared" si="17"/>
        <v>340.2</v>
      </c>
      <c r="AG331">
        <v>164.6</v>
      </c>
      <c r="AH331">
        <v>167.7</v>
      </c>
    </row>
    <row r="332" spans="1:34" x14ac:dyDescent="0.35">
      <c r="A332" t="s">
        <v>28</v>
      </c>
      <c r="B332">
        <v>2022</v>
      </c>
      <c r="C332" t="s">
        <v>34</v>
      </c>
      <c r="D332">
        <v>151.80000000000001</v>
      </c>
      <c r="E332">
        <v>209.7</v>
      </c>
      <c r="F332">
        <v>164.5</v>
      </c>
      <c r="G332">
        <v>163.80000000000001</v>
      </c>
      <c r="H332">
        <v>207.4</v>
      </c>
      <c r="I332">
        <v>169.7</v>
      </c>
      <c r="J332">
        <v>153.6</v>
      </c>
      <c r="K332">
        <v>165.1</v>
      </c>
      <c r="L332">
        <v>118.2</v>
      </c>
      <c r="M332">
        <v>182.9</v>
      </c>
      <c r="N332">
        <v>172.4</v>
      </c>
      <c r="O332">
        <v>178.9</v>
      </c>
      <c r="P332">
        <v>168.6</v>
      </c>
      <c r="Q332">
        <f t="shared" si="15"/>
        <v>2206.6</v>
      </c>
      <c r="R332">
        <v>192.8</v>
      </c>
      <c r="S332">
        <v>177.5</v>
      </c>
      <c r="T332">
        <v>175.1</v>
      </c>
      <c r="U332">
        <v>177.1</v>
      </c>
      <c r="V332">
        <v>529.70000000000005</v>
      </c>
      <c r="W332">
        <v>167</v>
      </c>
      <c r="X332">
        <v>173.3</v>
      </c>
      <c r="Y332">
        <v>167.7</v>
      </c>
      <c r="Z332">
        <f t="shared" si="16"/>
        <v>334.7</v>
      </c>
      <c r="AA332">
        <v>177</v>
      </c>
      <c r="AB332">
        <v>166.2</v>
      </c>
      <c r="AC332">
        <v>167.2</v>
      </c>
      <c r="AD332">
        <v>170.9</v>
      </c>
      <c r="AE332">
        <v>169</v>
      </c>
      <c r="AF332">
        <f t="shared" si="17"/>
        <v>346</v>
      </c>
      <c r="AG332">
        <v>170.2</v>
      </c>
      <c r="AH332">
        <v>170.8</v>
      </c>
    </row>
    <row r="333" spans="1:34" x14ac:dyDescent="0.35">
      <c r="A333" t="s">
        <v>30</v>
      </c>
      <c r="B333">
        <v>2022</v>
      </c>
      <c r="C333" t="s">
        <v>34</v>
      </c>
      <c r="D333">
        <v>155.4</v>
      </c>
      <c r="E333">
        <v>215.8</v>
      </c>
      <c r="F333">
        <v>164.6</v>
      </c>
      <c r="G333">
        <v>164.2</v>
      </c>
      <c r="H333">
        <v>186</v>
      </c>
      <c r="I333">
        <v>175.9</v>
      </c>
      <c r="J333">
        <v>190.7</v>
      </c>
      <c r="K333">
        <v>164</v>
      </c>
      <c r="L333">
        <v>120.5</v>
      </c>
      <c r="M333">
        <v>178</v>
      </c>
      <c r="N333">
        <v>157.5</v>
      </c>
      <c r="O333">
        <v>183.3</v>
      </c>
      <c r="P333">
        <v>174.5</v>
      </c>
      <c r="Q333">
        <f t="shared" si="15"/>
        <v>2230.4</v>
      </c>
      <c r="R333">
        <v>197.1</v>
      </c>
      <c r="S333">
        <v>168.4</v>
      </c>
      <c r="T333">
        <v>154.5</v>
      </c>
      <c r="U333">
        <v>166.3</v>
      </c>
      <c r="V333">
        <v>489.2</v>
      </c>
      <c r="W333">
        <v>167</v>
      </c>
      <c r="X333">
        <v>170.5</v>
      </c>
      <c r="Y333">
        <v>159.80000000000001</v>
      </c>
      <c r="Z333">
        <f t="shared" si="16"/>
        <v>326.8</v>
      </c>
      <c r="AA333">
        <v>169</v>
      </c>
      <c r="AB333">
        <v>159.30000000000001</v>
      </c>
      <c r="AC333">
        <v>162.19999999999999</v>
      </c>
      <c r="AD333">
        <v>164</v>
      </c>
      <c r="AE333">
        <v>168.4</v>
      </c>
      <c r="AF333">
        <f t="shared" si="17"/>
        <v>337.4</v>
      </c>
      <c r="AG333">
        <v>163.1</v>
      </c>
      <c r="AH333">
        <v>169.2</v>
      </c>
    </row>
    <row r="334" spans="1:34" x14ac:dyDescent="0.35">
      <c r="A334" t="s">
        <v>31</v>
      </c>
      <c r="B334">
        <v>2022</v>
      </c>
      <c r="C334" t="s">
        <v>34</v>
      </c>
      <c r="D334">
        <v>152.9</v>
      </c>
      <c r="E334">
        <v>211.8</v>
      </c>
      <c r="F334">
        <v>164.5</v>
      </c>
      <c r="G334">
        <v>163.9</v>
      </c>
      <c r="H334">
        <v>199.5</v>
      </c>
      <c r="I334">
        <v>172.6</v>
      </c>
      <c r="J334">
        <v>166.2</v>
      </c>
      <c r="K334">
        <v>164.7</v>
      </c>
      <c r="L334">
        <v>119</v>
      </c>
      <c r="M334">
        <v>181.3</v>
      </c>
      <c r="N334">
        <v>166.2</v>
      </c>
      <c r="O334">
        <v>180.9</v>
      </c>
      <c r="P334">
        <v>170.8</v>
      </c>
      <c r="Q334">
        <f t="shared" si="15"/>
        <v>2214.3000000000002</v>
      </c>
      <c r="R334">
        <v>193.9</v>
      </c>
      <c r="S334">
        <v>173.9</v>
      </c>
      <c r="T334">
        <v>166.5</v>
      </c>
      <c r="U334">
        <v>172.8</v>
      </c>
      <c r="V334">
        <v>513.20000000000005</v>
      </c>
      <c r="W334">
        <v>167</v>
      </c>
      <c r="X334">
        <v>172.2</v>
      </c>
      <c r="Y334">
        <v>164</v>
      </c>
      <c r="Z334">
        <f t="shared" si="16"/>
        <v>331</v>
      </c>
      <c r="AA334">
        <v>174</v>
      </c>
      <c r="AB334">
        <v>162.6</v>
      </c>
      <c r="AC334">
        <v>164.4</v>
      </c>
      <c r="AD334">
        <v>166.9</v>
      </c>
      <c r="AE334">
        <v>168.8</v>
      </c>
      <c r="AF334">
        <f t="shared" si="17"/>
        <v>342.8</v>
      </c>
      <c r="AG334">
        <v>166.8</v>
      </c>
      <c r="AH334">
        <v>170.1</v>
      </c>
    </row>
    <row r="335" spans="1:34" x14ac:dyDescent="0.35">
      <c r="A335" t="s">
        <v>28</v>
      </c>
      <c r="B335">
        <v>2022</v>
      </c>
      <c r="C335" t="s">
        <v>35</v>
      </c>
      <c r="D335">
        <v>152.9</v>
      </c>
      <c r="E335">
        <v>214.7</v>
      </c>
      <c r="F335">
        <v>161.4</v>
      </c>
      <c r="G335">
        <v>164.6</v>
      </c>
      <c r="H335">
        <v>209.9</v>
      </c>
      <c r="I335">
        <v>168</v>
      </c>
      <c r="J335">
        <v>160.4</v>
      </c>
      <c r="K335">
        <v>165</v>
      </c>
      <c r="L335">
        <v>118.9</v>
      </c>
      <c r="M335">
        <v>186.6</v>
      </c>
      <c r="N335">
        <v>173.2</v>
      </c>
      <c r="O335">
        <v>180.4</v>
      </c>
      <c r="P335">
        <v>170.8</v>
      </c>
      <c r="Q335">
        <f t="shared" si="15"/>
        <v>2226.8000000000002</v>
      </c>
      <c r="R335">
        <v>192.9</v>
      </c>
      <c r="S335">
        <v>179.3</v>
      </c>
      <c r="T335">
        <v>177.2</v>
      </c>
      <c r="U335">
        <v>179</v>
      </c>
      <c r="V335">
        <v>535.5</v>
      </c>
      <c r="W335">
        <v>167.5</v>
      </c>
      <c r="X335">
        <v>175.3</v>
      </c>
      <c r="Y335">
        <v>168.9</v>
      </c>
      <c r="Z335">
        <f t="shared" si="16"/>
        <v>336.4</v>
      </c>
      <c r="AA335">
        <v>177.7</v>
      </c>
      <c r="AB335">
        <v>167.1</v>
      </c>
      <c r="AC335">
        <v>167.6</v>
      </c>
      <c r="AD335">
        <v>171.8</v>
      </c>
      <c r="AE335">
        <v>168.5</v>
      </c>
      <c r="AF335">
        <f t="shared" si="17"/>
        <v>346.2</v>
      </c>
      <c r="AG335">
        <v>170.9</v>
      </c>
      <c r="AH335">
        <v>172.5</v>
      </c>
    </row>
    <row r="336" spans="1:34" x14ac:dyDescent="0.35">
      <c r="A336" t="s">
        <v>30</v>
      </c>
      <c r="B336">
        <v>2022</v>
      </c>
      <c r="C336" t="s">
        <v>35</v>
      </c>
      <c r="D336">
        <v>156.69999999999999</v>
      </c>
      <c r="E336">
        <v>221.2</v>
      </c>
      <c r="F336">
        <v>164.1</v>
      </c>
      <c r="G336">
        <v>165.4</v>
      </c>
      <c r="H336">
        <v>189.5</v>
      </c>
      <c r="I336">
        <v>174.5</v>
      </c>
      <c r="J336">
        <v>203.2</v>
      </c>
      <c r="K336">
        <v>164.1</v>
      </c>
      <c r="L336">
        <v>121.2</v>
      </c>
      <c r="M336">
        <v>181.4</v>
      </c>
      <c r="N336">
        <v>158.5</v>
      </c>
      <c r="O336">
        <v>184.9</v>
      </c>
      <c r="P336">
        <v>177.5</v>
      </c>
      <c r="Q336">
        <f t="shared" si="15"/>
        <v>2262.2000000000003</v>
      </c>
      <c r="R336">
        <v>197.5</v>
      </c>
      <c r="S336">
        <v>170</v>
      </c>
      <c r="T336">
        <v>155.9</v>
      </c>
      <c r="U336">
        <v>167.8</v>
      </c>
      <c r="V336">
        <v>493.7</v>
      </c>
      <c r="W336">
        <v>167.5</v>
      </c>
      <c r="X336">
        <v>173.5</v>
      </c>
      <c r="Y336">
        <v>161.1</v>
      </c>
      <c r="Z336">
        <f t="shared" si="16"/>
        <v>328.6</v>
      </c>
      <c r="AA336">
        <v>170.1</v>
      </c>
      <c r="AB336">
        <v>159.4</v>
      </c>
      <c r="AC336">
        <v>163.19999999999999</v>
      </c>
      <c r="AD336">
        <v>165.2</v>
      </c>
      <c r="AE336">
        <v>168.2</v>
      </c>
      <c r="AF336">
        <f t="shared" si="17"/>
        <v>338.29999999999995</v>
      </c>
      <c r="AG336">
        <v>163.80000000000001</v>
      </c>
      <c r="AH336">
        <v>170.8</v>
      </c>
    </row>
    <row r="337" spans="1:34" x14ac:dyDescent="0.35">
      <c r="A337" t="s">
        <v>31</v>
      </c>
      <c r="B337">
        <v>2022</v>
      </c>
      <c r="C337" t="s">
        <v>35</v>
      </c>
      <c r="D337">
        <v>154.1</v>
      </c>
      <c r="E337">
        <v>217</v>
      </c>
      <c r="F337">
        <v>162.4</v>
      </c>
      <c r="G337">
        <v>164.9</v>
      </c>
      <c r="H337">
        <v>202.4</v>
      </c>
      <c r="I337">
        <v>171</v>
      </c>
      <c r="J337">
        <v>174.9</v>
      </c>
      <c r="K337">
        <v>164.7</v>
      </c>
      <c r="L337">
        <v>119.7</v>
      </c>
      <c r="M337">
        <v>184.9</v>
      </c>
      <c r="N337">
        <v>167.1</v>
      </c>
      <c r="O337">
        <v>182.5</v>
      </c>
      <c r="P337">
        <v>173.3</v>
      </c>
      <c r="Q337">
        <f t="shared" si="15"/>
        <v>2238.9000000000005</v>
      </c>
      <c r="R337">
        <v>194.1</v>
      </c>
      <c r="S337">
        <v>175.6</v>
      </c>
      <c r="T337">
        <v>168.4</v>
      </c>
      <c r="U337">
        <v>174.6</v>
      </c>
      <c r="V337">
        <v>518.6</v>
      </c>
      <c r="W337">
        <v>167.5</v>
      </c>
      <c r="X337">
        <v>174.6</v>
      </c>
      <c r="Y337">
        <v>165.2</v>
      </c>
      <c r="Z337">
        <f t="shared" si="16"/>
        <v>332.7</v>
      </c>
      <c r="AA337">
        <v>174.8</v>
      </c>
      <c r="AB337">
        <v>163</v>
      </c>
      <c r="AC337">
        <v>165.1</v>
      </c>
      <c r="AD337">
        <v>167.9</v>
      </c>
      <c r="AE337">
        <v>168.4</v>
      </c>
      <c r="AF337">
        <f t="shared" si="17"/>
        <v>343.20000000000005</v>
      </c>
      <c r="AG337">
        <v>167.5</v>
      </c>
      <c r="AH337">
        <v>171.7</v>
      </c>
    </row>
    <row r="338" spans="1:34" x14ac:dyDescent="0.35">
      <c r="A338" t="s">
        <v>28</v>
      </c>
      <c r="B338">
        <v>2022</v>
      </c>
      <c r="C338" t="s">
        <v>36</v>
      </c>
      <c r="D338">
        <v>153.80000000000001</v>
      </c>
      <c r="E338">
        <v>217.2</v>
      </c>
      <c r="F338">
        <v>169.6</v>
      </c>
      <c r="G338">
        <v>165.4</v>
      </c>
      <c r="H338">
        <v>208.1</v>
      </c>
      <c r="I338">
        <v>165.8</v>
      </c>
      <c r="J338">
        <v>167.3</v>
      </c>
      <c r="K338">
        <v>164.6</v>
      </c>
      <c r="L338">
        <v>119.1</v>
      </c>
      <c r="M338">
        <v>188.9</v>
      </c>
      <c r="N338">
        <v>174.2</v>
      </c>
      <c r="O338">
        <v>181.9</v>
      </c>
      <c r="P338">
        <v>172.4</v>
      </c>
      <c r="Q338">
        <f t="shared" si="15"/>
        <v>2248.3000000000002</v>
      </c>
      <c r="R338">
        <v>192.9</v>
      </c>
      <c r="S338">
        <v>180.7</v>
      </c>
      <c r="T338">
        <v>178.7</v>
      </c>
      <c r="U338">
        <v>180.4</v>
      </c>
      <c r="V338">
        <v>539.79999999999995</v>
      </c>
      <c r="W338">
        <v>166.8</v>
      </c>
      <c r="X338">
        <v>176.7</v>
      </c>
      <c r="Y338">
        <v>170.3</v>
      </c>
      <c r="Z338">
        <f t="shared" si="16"/>
        <v>337.1</v>
      </c>
      <c r="AA338">
        <v>178.2</v>
      </c>
      <c r="AB338">
        <v>165.5</v>
      </c>
      <c r="AC338">
        <v>168</v>
      </c>
      <c r="AD338">
        <v>172.6</v>
      </c>
      <c r="AE338">
        <v>169.5</v>
      </c>
      <c r="AF338">
        <f t="shared" si="17"/>
        <v>347.7</v>
      </c>
      <c r="AG338">
        <v>171</v>
      </c>
      <c r="AH338">
        <v>173.6</v>
      </c>
    </row>
    <row r="339" spans="1:34" x14ac:dyDescent="0.35">
      <c r="A339" t="s">
        <v>30</v>
      </c>
      <c r="B339">
        <v>2022</v>
      </c>
      <c r="C339" t="s">
        <v>36</v>
      </c>
      <c r="D339">
        <v>157.5</v>
      </c>
      <c r="E339">
        <v>223.4</v>
      </c>
      <c r="F339">
        <v>172.8</v>
      </c>
      <c r="G339">
        <v>166.4</v>
      </c>
      <c r="H339">
        <v>188.6</v>
      </c>
      <c r="I339">
        <v>174.1</v>
      </c>
      <c r="J339">
        <v>211.5</v>
      </c>
      <c r="K339">
        <v>163.6</v>
      </c>
      <c r="L339">
        <v>121.4</v>
      </c>
      <c r="M339">
        <v>183.5</v>
      </c>
      <c r="N339">
        <v>159.1</v>
      </c>
      <c r="O339">
        <v>186.3</v>
      </c>
      <c r="P339">
        <v>179.3</v>
      </c>
      <c r="Q339">
        <f t="shared" si="15"/>
        <v>2287.5</v>
      </c>
      <c r="R339">
        <v>198.3</v>
      </c>
      <c r="S339">
        <v>171.6</v>
      </c>
      <c r="T339">
        <v>157.4</v>
      </c>
      <c r="U339">
        <v>169.4</v>
      </c>
      <c r="V339">
        <v>498.4</v>
      </c>
      <c r="W339">
        <v>166.8</v>
      </c>
      <c r="X339">
        <v>174.9</v>
      </c>
      <c r="Y339">
        <v>162.1</v>
      </c>
      <c r="Z339">
        <f t="shared" si="16"/>
        <v>328.9</v>
      </c>
      <c r="AA339">
        <v>170.9</v>
      </c>
      <c r="AB339">
        <v>157.19999999999999</v>
      </c>
      <c r="AC339">
        <v>164.1</v>
      </c>
      <c r="AD339">
        <v>166.5</v>
      </c>
      <c r="AE339">
        <v>169.2</v>
      </c>
      <c r="AF339">
        <f t="shared" si="17"/>
        <v>340.1</v>
      </c>
      <c r="AG339">
        <v>163.80000000000001</v>
      </c>
      <c r="AH339">
        <v>171.4</v>
      </c>
    </row>
    <row r="340" spans="1:34" x14ac:dyDescent="0.35">
      <c r="A340" t="s">
        <v>31</v>
      </c>
      <c r="B340">
        <v>2022</v>
      </c>
      <c r="C340" t="s">
        <v>36</v>
      </c>
      <c r="D340">
        <v>155</v>
      </c>
      <c r="E340">
        <v>219.4</v>
      </c>
      <c r="F340">
        <v>170.8</v>
      </c>
      <c r="G340">
        <v>165.8</v>
      </c>
      <c r="H340">
        <v>200.9</v>
      </c>
      <c r="I340">
        <v>169.7</v>
      </c>
      <c r="J340">
        <v>182.3</v>
      </c>
      <c r="K340">
        <v>164.3</v>
      </c>
      <c r="L340">
        <v>119.9</v>
      </c>
      <c r="M340">
        <v>187.1</v>
      </c>
      <c r="N340">
        <v>167.9</v>
      </c>
      <c r="O340">
        <v>183.9</v>
      </c>
      <c r="P340">
        <v>174.9</v>
      </c>
      <c r="Q340">
        <f t="shared" si="15"/>
        <v>2261.9</v>
      </c>
      <c r="R340">
        <v>194.3</v>
      </c>
      <c r="S340">
        <v>177.1</v>
      </c>
      <c r="T340">
        <v>169.9</v>
      </c>
      <c r="U340">
        <v>176</v>
      </c>
      <c r="V340">
        <v>523</v>
      </c>
      <c r="W340">
        <v>166.8</v>
      </c>
      <c r="X340">
        <v>176</v>
      </c>
      <c r="Y340">
        <v>166.4</v>
      </c>
      <c r="Z340">
        <f t="shared" si="16"/>
        <v>333.20000000000005</v>
      </c>
      <c r="AA340">
        <v>175.4</v>
      </c>
      <c r="AB340">
        <v>161.1</v>
      </c>
      <c r="AC340">
        <v>165.8</v>
      </c>
      <c r="AD340">
        <v>169</v>
      </c>
      <c r="AE340">
        <v>169.4</v>
      </c>
      <c r="AF340">
        <f t="shared" si="17"/>
        <v>344.8</v>
      </c>
      <c r="AG340">
        <v>167.5</v>
      </c>
      <c r="AH340">
        <v>172.6</v>
      </c>
    </row>
    <row r="341" spans="1:34" x14ac:dyDescent="0.35">
      <c r="A341" t="s">
        <v>28</v>
      </c>
      <c r="B341">
        <v>2022</v>
      </c>
      <c r="C341" t="s">
        <v>37</v>
      </c>
      <c r="D341">
        <v>155.19999999999999</v>
      </c>
      <c r="E341">
        <v>210.8</v>
      </c>
      <c r="F341">
        <v>174.3</v>
      </c>
      <c r="G341">
        <v>166.3</v>
      </c>
      <c r="H341">
        <v>202.2</v>
      </c>
      <c r="I341">
        <v>169.6</v>
      </c>
      <c r="J341">
        <v>168.6</v>
      </c>
      <c r="K341">
        <v>164.4</v>
      </c>
      <c r="L341">
        <v>119.2</v>
      </c>
      <c r="M341">
        <v>191.8</v>
      </c>
      <c r="N341">
        <v>174.5</v>
      </c>
      <c r="O341">
        <v>183.1</v>
      </c>
      <c r="P341">
        <v>172.5</v>
      </c>
      <c r="Q341">
        <f t="shared" si="15"/>
        <v>2252.5</v>
      </c>
      <c r="R341">
        <v>193.2</v>
      </c>
      <c r="S341">
        <v>182</v>
      </c>
      <c r="T341">
        <v>180.3</v>
      </c>
      <c r="U341">
        <v>181.7</v>
      </c>
      <c r="V341">
        <v>544</v>
      </c>
      <c r="W341">
        <v>167.8</v>
      </c>
      <c r="X341">
        <v>179.6</v>
      </c>
      <c r="Y341">
        <v>171.3</v>
      </c>
      <c r="Z341">
        <f t="shared" si="16"/>
        <v>339.1</v>
      </c>
      <c r="AA341">
        <v>178.8</v>
      </c>
      <c r="AB341">
        <v>166.3</v>
      </c>
      <c r="AC341">
        <v>168.6</v>
      </c>
      <c r="AD341">
        <v>174.7</v>
      </c>
      <c r="AE341">
        <v>169.7</v>
      </c>
      <c r="AF341">
        <f t="shared" si="17"/>
        <v>348.5</v>
      </c>
      <c r="AG341">
        <v>171.8</v>
      </c>
      <c r="AH341">
        <v>174.3</v>
      </c>
    </row>
    <row r="342" spans="1:34" x14ac:dyDescent="0.35">
      <c r="A342" t="s">
        <v>30</v>
      </c>
      <c r="B342">
        <v>2022</v>
      </c>
      <c r="C342" t="s">
        <v>37</v>
      </c>
      <c r="D342">
        <v>159.30000000000001</v>
      </c>
      <c r="E342">
        <v>217.1</v>
      </c>
      <c r="F342">
        <v>176.6</v>
      </c>
      <c r="G342">
        <v>167.1</v>
      </c>
      <c r="H342">
        <v>184.8</v>
      </c>
      <c r="I342">
        <v>179.5</v>
      </c>
      <c r="J342">
        <v>208.5</v>
      </c>
      <c r="K342">
        <v>164</v>
      </c>
      <c r="L342">
        <v>121.5</v>
      </c>
      <c r="M342">
        <v>186.3</v>
      </c>
      <c r="N342">
        <v>159.80000000000001</v>
      </c>
      <c r="O342">
        <v>187.7</v>
      </c>
      <c r="P342">
        <v>179.4</v>
      </c>
      <c r="Q342">
        <f t="shared" si="15"/>
        <v>2291.6</v>
      </c>
      <c r="R342">
        <v>198.6</v>
      </c>
      <c r="S342">
        <v>172.7</v>
      </c>
      <c r="T342">
        <v>158.69999999999999</v>
      </c>
      <c r="U342">
        <v>170.6</v>
      </c>
      <c r="V342">
        <v>502</v>
      </c>
      <c r="W342">
        <v>167.8</v>
      </c>
      <c r="X342">
        <v>179.5</v>
      </c>
      <c r="Y342">
        <v>163.1</v>
      </c>
      <c r="Z342">
        <f t="shared" si="16"/>
        <v>330.9</v>
      </c>
      <c r="AA342">
        <v>171.7</v>
      </c>
      <c r="AB342">
        <v>157.4</v>
      </c>
      <c r="AC342">
        <v>164.6</v>
      </c>
      <c r="AD342">
        <v>169.1</v>
      </c>
      <c r="AE342">
        <v>169.8</v>
      </c>
      <c r="AF342">
        <f t="shared" si="17"/>
        <v>341.5</v>
      </c>
      <c r="AG342">
        <v>164.7</v>
      </c>
      <c r="AH342">
        <v>172.3</v>
      </c>
    </row>
    <row r="343" spans="1:34" x14ac:dyDescent="0.35">
      <c r="A343" t="s">
        <v>31</v>
      </c>
      <c r="B343">
        <v>2022</v>
      </c>
      <c r="C343" t="s">
        <v>37</v>
      </c>
      <c r="D343">
        <v>156.5</v>
      </c>
      <c r="E343">
        <v>213</v>
      </c>
      <c r="F343">
        <v>175.2</v>
      </c>
      <c r="G343">
        <v>166.6</v>
      </c>
      <c r="H343">
        <v>195.8</v>
      </c>
      <c r="I343">
        <v>174.2</v>
      </c>
      <c r="J343">
        <v>182.1</v>
      </c>
      <c r="K343">
        <v>164.3</v>
      </c>
      <c r="L343">
        <v>120</v>
      </c>
      <c r="M343">
        <v>190</v>
      </c>
      <c r="N343">
        <v>168.4</v>
      </c>
      <c r="O343">
        <v>185.2</v>
      </c>
      <c r="P343">
        <v>175</v>
      </c>
      <c r="Q343">
        <f t="shared" si="15"/>
        <v>2266.3000000000002</v>
      </c>
      <c r="R343">
        <v>194.6</v>
      </c>
      <c r="S343">
        <v>178.3</v>
      </c>
      <c r="T343">
        <v>171.3</v>
      </c>
      <c r="U343">
        <v>177.3</v>
      </c>
      <c r="V343">
        <v>526.90000000000009</v>
      </c>
      <c r="W343">
        <v>167.8</v>
      </c>
      <c r="X343">
        <v>179.6</v>
      </c>
      <c r="Y343">
        <v>167.4</v>
      </c>
      <c r="Z343">
        <f t="shared" si="16"/>
        <v>335.20000000000005</v>
      </c>
      <c r="AA343">
        <v>176.1</v>
      </c>
      <c r="AB343">
        <v>161.6</v>
      </c>
      <c r="AC343">
        <v>166.3</v>
      </c>
      <c r="AD343">
        <v>171.4</v>
      </c>
      <c r="AE343">
        <v>169.7</v>
      </c>
      <c r="AF343">
        <f t="shared" si="17"/>
        <v>345.79999999999995</v>
      </c>
      <c r="AG343">
        <v>168.4</v>
      </c>
      <c r="AH343">
        <v>173.4</v>
      </c>
    </row>
    <row r="344" spans="1:34" x14ac:dyDescent="0.35">
      <c r="A344" t="s">
        <v>28</v>
      </c>
      <c r="B344">
        <v>2022</v>
      </c>
      <c r="C344" t="s">
        <v>38</v>
      </c>
      <c r="D344">
        <v>159.5</v>
      </c>
      <c r="E344">
        <v>204.1</v>
      </c>
      <c r="F344">
        <v>168.3</v>
      </c>
      <c r="G344">
        <v>167.9</v>
      </c>
      <c r="H344">
        <v>198.1</v>
      </c>
      <c r="I344">
        <v>169.2</v>
      </c>
      <c r="J344">
        <v>173.1</v>
      </c>
      <c r="K344">
        <v>167.1</v>
      </c>
      <c r="L344">
        <v>120.2</v>
      </c>
      <c r="M344">
        <v>195.6</v>
      </c>
      <c r="N344">
        <v>174.8</v>
      </c>
      <c r="O344">
        <v>184</v>
      </c>
      <c r="P344">
        <v>173.9</v>
      </c>
      <c r="Q344">
        <f t="shared" si="15"/>
        <v>2255.7999999999997</v>
      </c>
      <c r="R344">
        <v>193.7</v>
      </c>
      <c r="S344">
        <v>183.2</v>
      </c>
      <c r="T344">
        <v>181.7</v>
      </c>
      <c r="U344">
        <v>183</v>
      </c>
      <c r="V344">
        <v>547.9</v>
      </c>
      <c r="W344">
        <v>169</v>
      </c>
      <c r="X344">
        <v>179.1</v>
      </c>
      <c r="Y344">
        <v>172.3</v>
      </c>
      <c r="Z344">
        <f t="shared" si="16"/>
        <v>341.3</v>
      </c>
      <c r="AA344">
        <v>179.4</v>
      </c>
      <c r="AB344">
        <v>166.6</v>
      </c>
      <c r="AC344">
        <v>169.3</v>
      </c>
      <c r="AD344">
        <v>175.7</v>
      </c>
      <c r="AE344">
        <v>171.1</v>
      </c>
      <c r="AF344">
        <f t="shared" si="17"/>
        <v>350.5</v>
      </c>
      <c r="AG344">
        <v>172.6</v>
      </c>
      <c r="AH344">
        <v>175.3</v>
      </c>
    </row>
    <row r="345" spans="1:34" x14ac:dyDescent="0.35">
      <c r="A345" t="s">
        <v>30</v>
      </c>
      <c r="B345">
        <v>2022</v>
      </c>
      <c r="C345" t="s">
        <v>38</v>
      </c>
      <c r="D345">
        <v>162.1</v>
      </c>
      <c r="E345">
        <v>210.9</v>
      </c>
      <c r="F345">
        <v>170.6</v>
      </c>
      <c r="G345">
        <v>168.4</v>
      </c>
      <c r="H345">
        <v>182.5</v>
      </c>
      <c r="I345">
        <v>177.1</v>
      </c>
      <c r="J345">
        <v>213.1</v>
      </c>
      <c r="K345">
        <v>167.3</v>
      </c>
      <c r="L345">
        <v>122.2</v>
      </c>
      <c r="M345">
        <v>189.7</v>
      </c>
      <c r="N345">
        <v>160.5</v>
      </c>
      <c r="O345">
        <v>188.9</v>
      </c>
      <c r="P345">
        <v>180.4</v>
      </c>
      <c r="Q345">
        <f t="shared" si="15"/>
        <v>2293.6999999999998</v>
      </c>
      <c r="R345">
        <v>198.7</v>
      </c>
      <c r="S345">
        <v>173.7</v>
      </c>
      <c r="T345">
        <v>160</v>
      </c>
      <c r="U345">
        <v>171.6</v>
      </c>
      <c r="V345">
        <v>505.29999999999995</v>
      </c>
      <c r="W345">
        <v>169</v>
      </c>
      <c r="X345">
        <v>178.4</v>
      </c>
      <c r="Y345">
        <v>164.2</v>
      </c>
      <c r="Z345">
        <f t="shared" si="16"/>
        <v>333.2</v>
      </c>
      <c r="AA345">
        <v>172.6</v>
      </c>
      <c r="AB345">
        <v>157.69999999999999</v>
      </c>
      <c r="AC345">
        <v>165.1</v>
      </c>
      <c r="AD345">
        <v>169.9</v>
      </c>
      <c r="AE345">
        <v>171.4</v>
      </c>
      <c r="AF345">
        <f t="shared" si="17"/>
        <v>344</v>
      </c>
      <c r="AG345">
        <v>165.4</v>
      </c>
      <c r="AH345">
        <v>173.1</v>
      </c>
    </row>
    <row r="346" spans="1:34" x14ac:dyDescent="0.35">
      <c r="A346" t="s">
        <v>31</v>
      </c>
      <c r="B346">
        <v>2022</v>
      </c>
      <c r="C346" t="s">
        <v>38</v>
      </c>
      <c r="D346">
        <v>160.30000000000001</v>
      </c>
      <c r="E346">
        <v>206.5</v>
      </c>
      <c r="F346">
        <v>169.2</v>
      </c>
      <c r="G346">
        <v>168.1</v>
      </c>
      <c r="H346">
        <v>192.4</v>
      </c>
      <c r="I346">
        <v>172.9</v>
      </c>
      <c r="J346">
        <v>186.7</v>
      </c>
      <c r="K346">
        <v>167.2</v>
      </c>
      <c r="L346">
        <v>120.9</v>
      </c>
      <c r="M346">
        <v>193.6</v>
      </c>
      <c r="N346">
        <v>168.8</v>
      </c>
      <c r="O346">
        <v>186.3</v>
      </c>
      <c r="P346">
        <v>176.3</v>
      </c>
      <c r="Q346">
        <f t="shared" si="15"/>
        <v>2269.2000000000003</v>
      </c>
      <c r="R346">
        <v>195</v>
      </c>
      <c r="S346">
        <v>179.5</v>
      </c>
      <c r="T346">
        <v>172.7</v>
      </c>
      <c r="U346">
        <v>178.5</v>
      </c>
      <c r="V346">
        <v>530.70000000000005</v>
      </c>
      <c r="W346">
        <v>169</v>
      </c>
      <c r="X346">
        <v>178.8</v>
      </c>
      <c r="Y346">
        <v>168.5</v>
      </c>
      <c r="Z346">
        <f t="shared" si="16"/>
        <v>337.5</v>
      </c>
      <c r="AA346">
        <v>176.8</v>
      </c>
      <c r="AB346">
        <v>161.9</v>
      </c>
      <c r="AC346">
        <v>166.9</v>
      </c>
      <c r="AD346">
        <v>172.3</v>
      </c>
      <c r="AE346">
        <v>171.2</v>
      </c>
      <c r="AF346">
        <f t="shared" si="17"/>
        <v>348</v>
      </c>
      <c r="AG346">
        <v>169.1</v>
      </c>
      <c r="AH346">
        <v>174.3</v>
      </c>
    </row>
    <row r="347" spans="1:34" x14ac:dyDescent="0.35">
      <c r="A347" t="s">
        <v>28</v>
      </c>
      <c r="B347">
        <v>2022</v>
      </c>
      <c r="C347" t="s">
        <v>39</v>
      </c>
      <c r="D347">
        <v>162.9</v>
      </c>
      <c r="E347">
        <v>206.7</v>
      </c>
      <c r="F347">
        <v>169</v>
      </c>
      <c r="G347">
        <v>169.5</v>
      </c>
      <c r="H347">
        <v>194.1</v>
      </c>
      <c r="I347">
        <v>164.1</v>
      </c>
      <c r="J347">
        <v>176.9</v>
      </c>
      <c r="K347">
        <v>169</v>
      </c>
      <c r="L347">
        <v>120.8</v>
      </c>
      <c r="M347">
        <v>199.1</v>
      </c>
      <c r="N347">
        <v>175.4</v>
      </c>
      <c r="O347">
        <v>184.8</v>
      </c>
      <c r="P347">
        <v>175.5</v>
      </c>
      <c r="Q347">
        <f t="shared" si="15"/>
        <v>2267.8000000000002</v>
      </c>
      <c r="R347">
        <v>194.5</v>
      </c>
      <c r="S347">
        <v>184.7</v>
      </c>
      <c r="T347">
        <v>183.3</v>
      </c>
      <c r="U347">
        <v>184.5</v>
      </c>
      <c r="V347">
        <v>552.5</v>
      </c>
      <c r="W347">
        <v>169.5</v>
      </c>
      <c r="X347">
        <v>179.7</v>
      </c>
      <c r="Y347">
        <v>173.6</v>
      </c>
      <c r="Z347">
        <f t="shared" si="16"/>
        <v>343.1</v>
      </c>
      <c r="AA347">
        <v>180.2</v>
      </c>
      <c r="AB347">
        <v>166.9</v>
      </c>
      <c r="AC347">
        <v>170</v>
      </c>
      <c r="AD347">
        <v>176.2</v>
      </c>
      <c r="AE347">
        <v>170.8</v>
      </c>
      <c r="AF347">
        <f t="shared" si="17"/>
        <v>351</v>
      </c>
      <c r="AG347">
        <v>173.1</v>
      </c>
      <c r="AH347">
        <v>176.4</v>
      </c>
    </row>
    <row r="348" spans="1:34" x14ac:dyDescent="0.35">
      <c r="A348" t="s">
        <v>30</v>
      </c>
      <c r="B348">
        <v>2022</v>
      </c>
      <c r="C348" t="s">
        <v>39</v>
      </c>
      <c r="D348">
        <v>164.9</v>
      </c>
      <c r="E348">
        <v>213.7</v>
      </c>
      <c r="F348">
        <v>170.9</v>
      </c>
      <c r="G348">
        <v>170.1</v>
      </c>
      <c r="H348">
        <v>179.3</v>
      </c>
      <c r="I348">
        <v>167.5</v>
      </c>
      <c r="J348">
        <v>220.8</v>
      </c>
      <c r="K348">
        <v>169.2</v>
      </c>
      <c r="L348">
        <v>123.1</v>
      </c>
      <c r="M348">
        <v>193.6</v>
      </c>
      <c r="N348">
        <v>161.1</v>
      </c>
      <c r="O348">
        <v>190.4</v>
      </c>
      <c r="P348">
        <v>181.8</v>
      </c>
      <c r="Q348">
        <f t="shared" si="15"/>
        <v>2306.4</v>
      </c>
      <c r="R348">
        <v>199.7</v>
      </c>
      <c r="S348">
        <v>175</v>
      </c>
      <c r="T348">
        <v>161.69999999999999</v>
      </c>
      <c r="U348">
        <v>173</v>
      </c>
      <c r="V348">
        <v>509.7</v>
      </c>
      <c r="W348">
        <v>169.5</v>
      </c>
      <c r="X348">
        <v>179.2</v>
      </c>
      <c r="Y348">
        <v>165</v>
      </c>
      <c r="Z348">
        <f t="shared" si="16"/>
        <v>334.5</v>
      </c>
      <c r="AA348">
        <v>173.8</v>
      </c>
      <c r="AB348">
        <v>158.19999999999999</v>
      </c>
      <c r="AC348">
        <v>165.8</v>
      </c>
      <c r="AD348">
        <v>170.9</v>
      </c>
      <c r="AE348">
        <v>171.1</v>
      </c>
      <c r="AF348">
        <f t="shared" si="17"/>
        <v>344.9</v>
      </c>
      <c r="AG348">
        <v>166.1</v>
      </c>
      <c r="AH348">
        <v>174.1</v>
      </c>
    </row>
    <row r="349" spans="1:34" x14ac:dyDescent="0.35">
      <c r="A349" t="s">
        <v>31</v>
      </c>
      <c r="B349">
        <v>2022</v>
      </c>
      <c r="C349" t="s">
        <v>39</v>
      </c>
      <c r="D349">
        <v>163.5</v>
      </c>
      <c r="E349">
        <v>209.2</v>
      </c>
      <c r="F349">
        <v>169.7</v>
      </c>
      <c r="G349">
        <v>169.7</v>
      </c>
      <c r="H349">
        <v>188.7</v>
      </c>
      <c r="I349">
        <v>165.7</v>
      </c>
      <c r="J349">
        <v>191.8</v>
      </c>
      <c r="K349">
        <v>169.1</v>
      </c>
      <c r="L349">
        <v>121.6</v>
      </c>
      <c r="M349">
        <v>197.3</v>
      </c>
      <c r="N349">
        <v>169.4</v>
      </c>
      <c r="O349">
        <v>187.4</v>
      </c>
      <c r="P349">
        <v>177.8</v>
      </c>
      <c r="Q349">
        <f t="shared" si="15"/>
        <v>2280.9</v>
      </c>
      <c r="R349">
        <v>195.9</v>
      </c>
      <c r="S349">
        <v>180.9</v>
      </c>
      <c r="T349">
        <v>174.3</v>
      </c>
      <c r="U349">
        <v>179.9</v>
      </c>
      <c r="V349">
        <v>535.1</v>
      </c>
      <c r="W349">
        <v>169.5</v>
      </c>
      <c r="X349">
        <v>179.5</v>
      </c>
      <c r="Y349">
        <v>169.5</v>
      </c>
      <c r="Z349">
        <f t="shared" si="16"/>
        <v>339</v>
      </c>
      <c r="AA349">
        <v>177.8</v>
      </c>
      <c r="AB349">
        <v>162.30000000000001</v>
      </c>
      <c r="AC349">
        <v>167.6</v>
      </c>
      <c r="AD349">
        <v>173.1</v>
      </c>
      <c r="AE349">
        <v>170.9</v>
      </c>
      <c r="AF349">
        <f t="shared" si="17"/>
        <v>348.70000000000005</v>
      </c>
      <c r="AG349">
        <v>169.7</v>
      </c>
      <c r="AH349">
        <v>175.3</v>
      </c>
    </row>
    <row r="350" spans="1:34" x14ac:dyDescent="0.35">
      <c r="A350" t="s">
        <v>28</v>
      </c>
      <c r="B350">
        <v>2022</v>
      </c>
      <c r="C350" t="s">
        <v>40</v>
      </c>
      <c r="D350">
        <v>164.7</v>
      </c>
      <c r="E350">
        <v>208.8</v>
      </c>
      <c r="F350">
        <v>170.3</v>
      </c>
      <c r="G350">
        <v>170.9</v>
      </c>
      <c r="H350">
        <v>191.6</v>
      </c>
      <c r="I350">
        <v>162.19999999999999</v>
      </c>
      <c r="J350">
        <v>184.8</v>
      </c>
      <c r="K350">
        <v>169.7</v>
      </c>
      <c r="L350">
        <v>121.1</v>
      </c>
      <c r="M350">
        <v>201.6</v>
      </c>
      <c r="N350">
        <v>175.8</v>
      </c>
      <c r="O350">
        <v>185.6</v>
      </c>
      <c r="P350">
        <v>177.4</v>
      </c>
      <c r="Q350">
        <f t="shared" si="15"/>
        <v>2284.5</v>
      </c>
      <c r="R350">
        <v>194.9</v>
      </c>
      <c r="S350">
        <v>186.1</v>
      </c>
      <c r="T350">
        <v>184.4</v>
      </c>
      <c r="U350">
        <v>185.9</v>
      </c>
      <c r="V350">
        <v>556.4</v>
      </c>
      <c r="W350">
        <v>171.2</v>
      </c>
      <c r="X350">
        <v>180.8</v>
      </c>
      <c r="Y350">
        <v>174.4</v>
      </c>
      <c r="Z350">
        <f t="shared" si="16"/>
        <v>345.6</v>
      </c>
      <c r="AA350">
        <v>181.2</v>
      </c>
      <c r="AB350">
        <v>167.4</v>
      </c>
      <c r="AC350">
        <v>170.6</v>
      </c>
      <c r="AD350">
        <v>176.5</v>
      </c>
      <c r="AE350">
        <v>172</v>
      </c>
      <c r="AF350">
        <f t="shared" si="17"/>
        <v>353.2</v>
      </c>
      <c r="AG350">
        <v>173.9</v>
      </c>
      <c r="AH350">
        <v>177.9</v>
      </c>
    </row>
    <row r="351" spans="1:34" x14ac:dyDescent="0.35">
      <c r="A351" t="s">
        <v>30</v>
      </c>
      <c r="B351">
        <v>2022</v>
      </c>
      <c r="C351" t="s">
        <v>40</v>
      </c>
      <c r="D351">
        <v>166.4</v>
      </c>
      <c r="E351">
        <v>214.9</v>
      </c>
      <c r="F351">
        <v>171.9</v>
      </c>
      <c r="G351">
        <v>171</v>
      </c>
      <c r="H351">
        <v>177.7</v>
      </c>
      <c r="I351">
        <v>165.7</v>
      </c>
      <c r="J351">
        <v>228.6</v>
      </c>
      <c r="K351">
        <v>169.9</v>
      </c>
      <c r="L351">
        <v>123.4</v>
      </c>
      <c r="M351">
        <v>196.4</v>
      </c>
      <c r="N351">
        <v>161.6</v>
      </c>
      <c r="O351">
        <v>191.5</v>
      </c>
      <c r="P351">
        <v>183.3</v>
      </c>
      <c r="Q351">
        <f t="shared" si="15"/>
        <v>2322.3000000000002</v>
      </c>
      <c r="R351">
        <v>200.1</v>
      </c>
      <c r="S351">
        <v>175.5</v>
      </c>
      <c r="T351">
        <v>162.6</v>
      </c>
      <c r="U351">
        <v>173.6</v>
      </c>
      <c r="V351">
        <v>511.70000000000005</v>
      </c>
      <c r="W351">
        <v>171.2</v>
      </c>
      <c r="X351">
        <v>180</v>
      </c>
      <c r="Y351">
        <v>166</v>
      </c>
      <c r="Z351">
        <f t="shared" si="16"/>
        <v>337.2</v>
      </c>
      <c r="AA351">
        <v>174.7</v>
      </c>
      <c r="AB351">
        <v>158.80000000000001</v>
      </c>
      <c r="AC351">
        <v>166.3</v>
      </c>
      <c r="AD351">
        <v>171.2</v>
      </c>
      <c r="AE351">
        <v>172.3</v>
      </c>
      <c r="AF351">
        <f t="shared" si="17"/>
        <v>347</v>
      </c>
      <c r="AG351">
        <v>166.8</v>
      </c>
      <c r="AH351">
        <v>175.3</v>
      </c>
    </row>
    <row r="352" spans="1:34" x14ac:dyDescent="0.35">
      <c r="A352" t="s">
        <v>31</v>
      </c>
      <c r="B352">
        <v>2022</v>
      </c>
      <c r="C352" t="s">
        <v>40</v>
      </c>
      <c r="D352">
        <v>165.2</v>
      </c>
      <c r="E352">
        <v>210.9</v>
      </c>
      <c r="F352">
        <v>170.9</v>
      </c>
      <c r="G352">
        <v>170.9</v>
      </c>
      <c r="H352">
        <v>186.5</v>
      </c>
      <c r="I352">
        <v>163.80000000000001</v>
      </c>
      <c r="J352">
        <v>199.7</v>
      </c>
      <c r="K352">
        <v>169.8</v>
      </c>
      <c r="L352">
        <v>121.9</v>
      </c>
      <c r="M352">
        <v>199.9</v>
      </c>
      <c r="N352">
        <v>169.9</v>
      </c>
      <c r="O352">
        <v>188.3</v>
      </c>
      <c r="P352">
        <v>179.6</v>
      </c>
      <c r="Q352">
        <f t="shared" si="15"/>
        <v>2297.3000000000002</v>
      </c>
      <c r="R352">
        <v>196.3</v>
      </c>
      <c r="S352">
        <v>181.9</v>
      </c>
      <c r="T352">
        <v>175.3</v>
      </c>
      <c r="U352">
        <v>181</v>
      </c>
      <c r="V352">
        <v>538.20000000000005</v>
      </c>
      <c r="W352">
        <v>171.2</v>
      </c>
      <c r="X352">
        <v>180.5</v>
      </c>
      <c r="Y352">
        <v>170.4</v>
      </c>
      <c r="Z352">
        <f t="shared" si="16"/>
        <v>341.6</v>
      </c>
      <c r="AA352">
        <v>178.7</v>
      </c>
      <c r="AB352">
        <v>162.9</v>
      </c>
      <c r="AC352">
        <v>168.2</v>
      </c>
      <c r="AD352">
        <v>173.4</v>
      </c>
      <c r="AE352">
        <v>172.1</v>
      </c>
      <c r="AF352">
        <f t="shared" si="17"/>
        <v>350.79999999999995</v>
      </c>
      <c r="AG352">
        <v>170.5</v>
      </c>
      <c r="AH352">
        <v>176.7</v>
      </c>
    </row>
    <row r="353" spans="1:34" x14ac:dyDescent="0.35">
      <c r="A353" t="s">
        <v>28</v>
      </c>
      <c r="B353">
        <v>2022</v>
      </c>
      <c r="C353" t="s">
        <v>42</v>
      </c>
      <c r="D353">
        <v>166.9</v>
      </c>
      <c r="E353">
        <v>207.2</v>
      </c>
      <c r="F353">
        <v>180.2</v>
      </c>
      <c r="G353">
        <v>172.3</v>
      </c>
      <c r="H353">
        <v>194</v>
      </c>
      <c r="I353">
        <v>159.1</v>
      </c>
      <c r="J353">
        <v>171.6</v>
      </c>
      <c r="K353">
        <v>170.2</v>
      </c>
      <c r="L353">
        <v>121.5</v>
      </c>
      <c r="M353">
        <v>204.8</v>
      </c>
      <c r="N353">
        <v>176.4</v>
      </c>
      <c r="O353">
        <v>186.9</v>
      </c>
      <c r="P353">
        <v>176.6</v>
      </c>
      <c r="Q353">
        <f t="shared" si="15"/>
        <v>2287.6999999999998</v>
      </c>
      <c r="R353">
        <v>195.5</v>
      </c>
      <c r="S353">
        <v>187.2</v>
      </c>
      <c r="T353">
        <v>185.2</v>
      </c>
      <c r="U353">
        <v>186.9</v>
      </c>
      <c r="V353">
        <v>559.29999999999995</v>
      </c>
      <c r="W353">
        <v>171.8</v>
      </c>
      <c r="X353">
        <v>181.9</v>
      </c>
      <c r="Y353">
        <v>175.5</v>
      </c>
      <c r="Z353">
        <f t="shared" si="16"/>
        <v>347.3</v>
      </c>
      <c r="AA353">
        <v>182.3</v>
      </c>
      <c r="AB353">
        <v>167.5</v>
      </c>
      <c r="AC353">
        <v>170.8</v>
      </c>
      <c r="AD353">
        <v>176.9</v>
      </c>
      <c r="AE353">
        <v>173.4</v>
      </c>
      <c r="AF353">
        <f t="shared" si="17"/>
        <v>355.70000000000005</v>
      </c>
      <c r="AG353">
        <v>174.6</v>
      </c>
      <c r="AH353">
        <v>177.8</v>
      </c>
    </row>
    <row r="354" spans="1:34" x14ac:dyDescent="0.35">
      <c r="A354" t="s">
        <v>30</v>
      </c>
      <c r="B354">
        <v>2022</v>
      </c>
      <c r="C354" t="s">
        <v>42</v>
      </c>
      <c r="D354">
        <v>168.4</v>
      </c>
      <c r="E354">
        <v>213.4</v>
      </c>
      <c r="F354">
        <v>183.2</v>
      </c>
      <c r="G354">
        <v>172.3</v>
      </c>
      <c r="H354">
        <v>180</v>
      </c>
      <c r="I354">
        <v>162.6</v>
      </c>
      <c r="J354">
        <v>205.5</v>
      </c>
      <c r="K354">
        <v>171</v>
      </c>
      <c r="L354">
        <v>123.4</v>
      </c>
      <c r="M354">
        <v>198.8</v>
      </c>
      <c r="N354">
        <v>162.1</v>
      </c>
      <c r="O354">
        <v>192.4</v>
      </c>
      <c r="P354">
        <v>181.3</v>
      </c>
      <c r="Q354">
        <f t="shared" si="15"/>
        <v>2314.4</v>
      </c>
      <c r="R354">
        <v>200.6</v>
      </c>
      <c r="S354">
        <v>176.7</v>
      </c>
      <c r="T354">
        <v>163.5</v>
      </c>
      <c r="U354">
        <v>174.7</v>
      </c>
      <c r="V354">
        <v>514.9</v>
      </c>
      <c r="W354">
        <v>171.8</v>
      </c>
      <c r="X354">
        <v>180.3</v>
      </c>
      <c r="Y354">
        <v>166.9</v>
      </c>
      <c r="Z354">
        <f t="shared" si="16"/>
        <v>338.70000000000005</v>
      </c>
      <c r="AA354">
        <v>175.8</v>
      </c>
      <c r="AB354">
        <v>158.9</v>
      </c>
      <c r="AC354">
        <v>166.7</v>
      </c>
      <c r="AD354">
        <v>171.5</v>
      </c>
      <c r="AE354">
        <v>173.8</v>
      </c>
      <c r="AF354">
        <f t="shared" si="17"/>
        <v>349.6</v>
      </c>
      <c r="AG354">
        <v>167.4</v>
      </c>
      <c r="AH354">
        <v>174.1</v>
      </c>
    </row>
    <row r="355" spans="1:34" x14ac:dyDescent="0.35">
      <c r="A355" t="s">
        <v>31</v>
      </c>
      <c r="B355">
        <v>2022</v>
      </c>
      <c r="C355" t="s">
        <v>42</v>
      </c>
      <c r="D355">
        <v>167.4</v>
      </c>
      <c r="E355">
        <v>209.4</v>
      </c>
      <c r="F355">
        <v>181.4</v>
      </c>
      <c r="G355">
        <v>172.3</v>
      </c>
      <c r="H355">
        <v>188.9</v>
      </c>
      <c r="I355">
        <v>160.69999999999999</v>
      </c>
      <c r="J355">
        <v>183.1</v>
      </c>
      <c r="K355">
        <v>170.5</v>
      </c>
      <c r="L355">
        <v>122.1</v>
      </c>
      <c r="M355">
        <v>202.8</v>
      </c>
      <c r="N355">
        <v>170.4</v>
      </c>
      <c r="O355">
        <v>189.5</v>
      </c>
      <c r="P355">
        <v>178.3</v>
      </c>
      <c r="Q355">
        <f t="shared" si="15"/>
        <v>2296.8000000000002</v>
      </c>
      <c r="R355">
        <v>196.9</v>
      </c>
      <c r="S355">
        <v>183.1</v>
      </c>
      <c r="T355">
        <v>176.2</v>
      </c>
      <c r="U355">
        <v>182.1</v>
      </c>
      <c r="V355">
        <v>541.4</v>
      </c>
      <c r="W355">
        <v>171.8</v>
      </c>
      <c r="X355">
        <v>181.3</v>
      </c>
      <c r="Y355">
        <v>171.4</v>
      </c>
      <c r="Z355">
        <f t="shared" si="16"/>
        <v>343.20000000000005</v>
      </c>
      <c r="AA355">
        <v>179.8</v>
      </c>
      <c r="AB355">
        <v>163</v>
      </c>
      <c r="AC355">
        <v>168.5</v>
      </c>
      <c r="AD355">
        <v>173.7</v>
      </c>
      <c r="AE355">
        <v>173.6</v>
      </c>
      <c r="AF355">
        <f t="shared" si="17"/>
        <v>353.4</v>
      </c>
      <c r="AG355">
        <v>171.1</v>
      </c>
      <c r="AH355">
        <v>176.5</v>
      </c>
    </row>
    <row r="356" spans="1:34" x14ac:dyDescent="0.35">
      <c r="A356" t="s">
        <v>28</v>
      </c>
      <c r="B356">
        <v>2022</v>
      </c>
      <c r="C356" t="s">
        <v>43</v>
      </c>
      <c r="D356">
        <v>168.8</v>
      </c>
      <c r="E356">
        <v>206.9</v>
      </c>
      <c r="F356">
        <v>189.1</v>
      </c>
      <c r="G356">
        <v>173.4</v>
      </c>
      <c r="H356">
        <v>193.9</v>
      </c>
      <c r="I356">
        <v>156.69999999999999</v>
      </c>
      <c r="J356">
        <v>150.19999999999999</v>
      </c>
      <c r="K356">
        <v>170.5</v>
      </c>
      <c r="L356">
        <v>121.2</v>
      </c>
      <c r="M356">
        <v>207.5</v>
      </c>
      <c r="N356">
        <v>176.8</v>
      </c>
      <c r="O356">
        <v>187.7</v>
      </c>
      <c r="P356">
        <v>174.4</v>
      </c>
      <c r="Q356">
        <f t="shared" si="15"/>
        <v>2277.1</v>
      </c>
      <c r="R356">
        <v>195.9</v>
      </c>
      <c r="S356">
        <v>188.1</v>
      </c>
      <c r="T356">
        <v>185.9</v>
      </c>
      <c r="U356">
        <v>187.8</v>
      </c>
      <c r="V356">
        <v>561.79999999999995</v>
      </c>
      <c r="W356">
        <v>170.7</v>
      </c>
      <c r="X356">
        <v>182.8</v>
      </c>
      <c r="Y356">
        <v>176.4</v>
      </c>
      <c r="Z356">
        <f t="shared" si="16"/>
        <v>347.1</v>
      </c>
      <c r="AA356">
        <v>183.5</v>
      </c>
      <c r="AB356">
        <v>167.8</v>
      </c>
      <c r="AC356">
        <v>171.2</v>
      </c>
      <c r="AD356">
        <v>177.3</v>
      </c>
      <c r="AE356">
        <v>175.7</v>
      </c>
      <c r="AF356">
        <f t="shared" si="17"/>
        <v>359.2</v>
      </c>
      <c r="AG356">
        <v>175.5</v>
      </c>
      <c r="AH356">
        <v>177.1</v>
      </c>
    </row>
    <row r="357" spans="1:34" x14ac:dyDescent="0.35">
      <c r="A357" t="s">
        <v>30</v>
      </c>
      <c r="B357">
        <v>2022</v>
      </c>
      <c r="C357" t="s">
        <v>43</v>
      </c>
      <c r="D357">
        <v>170.2</v>
      </c>
      <c r="E357">
        <v>212.9</v>
      </c>
      <c r="F357">
        <v>191.9</v>
      </c>
      <c r="G357">
        <v>173.9</v>
      </c>
      <c r="H357">
        <v>179.1</v>
      </c>
      <c r="I357">
        <v>159.5</v>
      </c>
      <c r="J357">
        <v>178.7</v>
      </c>
      <c r="K357">
        <v>171.3</v>
      </c>
      <c r="L357">
        <v>123.1</v>
      </c>
      <c r="M357">
        <v>200.5</v>
      </c>
      <c r="N357">
        <v>162.80000000000001</v>
      </c>
      <c r="O357">
        <v>193.3</v>
      </c>
      <c r="P357">
        <v>178.6</v>
      </c>
      <c r="Q357">
        <f t="shared" si="15"/>
        <v>2295.7999999999997</v>
      </c>
      <c r="R357">
        <v>201.1</v>
      </c>
      <c r="S357">
        <v>177.7</v>
      </c>
      <c r="T357">
        <v>164.5</v>
      </c>
      <c r="U357">
        <v>175.7</v>
      </c>
      <c r="V357">
        <v>517.9</v>
      </c>
      <c r="W357">
        <v>170.7</v>
      </c>
      <c r="X357">
        <v>180.6</v>
      </c>
      <c r="Y357">
        <v>167.3</v>
      </c>
      <c r="Z357">
        <f t="shared" si="16"/>
        <v>338</v>
      </c>
      <c r="AA357">
        <v>177.2</v>
      </c>
      <c r="AB357">
        <v>159.4</v>
      </c>
      <c r="AC357">
        <v>167.1</v>
      </c>
      <c r="AD357">
        <v>171.8</v>
      </c>
      <c r="AE357">
        <v>176</v>
      </c>
      <c r="AF357">
        <f t="shared" si="17"/>
        <v>353.2</v>
      </c>
      <c r="AG357">
        <v>168.2</v>
      </c>
      <c r="AH357">
        <v>174.1</v>
      </c>
    </row>
    <row r="358" spans="1:34" x14ac:dyDescent="0.35">
      <c r="A358" t="s">
        <v>31</v>
      </c>
      <c r="B358">
        <v>2022</v>
      </c>
      <c r="C358" t="s">
        <v>43</v>
      </c>
      <c r="D358">
        <v>169.2</v>
      </c>
      <c r="E358">
        <v>209</v>
      </c>
      <c r="F358">
        <v>190.2</v>
      </c>
      <c r="G358">
        <v>173.6</v>
      </c>
      <c r="H358">
        <v>188.5</v>
      </c>
      <c r="I358">
        <v>158</v>
      </c>
      <c r="J358">
        <v>159.9</v>
      </c>
      <c r="K358">
        <v>170.8</v>
      </c>
      <c r="L358">
        <v>121.8</v>
      </c>
      <c r="M358">
        <v>205.2</v>
      </c>
      <c r="N358">
        <v>171</v>
      </c>
      <c r="O358">
        <v>190.3</v>
      </c>
      <c r="P358">
        <v>175.9</v>
      </c>
      <c r="Q358">
        <f t="shared" si="15"/>
        <v>2283.4</v>
      </c>
      <c r="R358">
        <v>197.3</v>
      </c>
      <c r="S358">
        <v>184</v>
      </c>
      <c r="T358">
        <v>177</v>
      </c>
      <c r="U358">
        <v>183</v>
      </c>
      <c r="V358">
        <v>544</v>
      </c>
      <c r="W358">
        <v>170.7</v>
      </c>
      <c r="X358">
        <v>182</v>
      </c>
      <c r="Y358">
        <v>172.1</v>
      </c>
      <c r="Z358">
        <f t="shared" si="16"/>
        <v>342.79999999999995</v>
      </c>
      <c r="AA358">
        <v>181.1</v>
      </c>
      <c r="AB358">
        <v>163.4</v>
      </c>
      <c r="AC358">
        <v>168.9</v>
      </c>
      <c r="AD358">
        <v>174.1</v>
      </c>
      <c r="AE358">
        <v>175.8</v>
      </c>
      <c r="AF358">
        <f t="shared" si="17"/>
        <v>356.9</v>
      </c>
      <c r="AG358">
        <v>172</v>
      </c>
      <c r="AH358">
        <v>175.7</v>
      </c>
    </row>
    <row r="359" spans="1:34" x14ac:dyDescent="0.35">
      <c r="A359" t="s">
        <v>28</v>
      </c>
      <c r="B359">
        <v>2023</v>
      </c>
      <c r="C359" t="s">
        <v>29</v>
      </c>
      <c r="D359">
        <v>174</v>
      </c>
      <c r="E359">
        <v>208.3</v>
      </c>
      <c r="F359">
        <v>192.9</v>
      </c>
      <c r="G359">
        <v>174.3</v>
      </c>
      <c r="H359">
        <v>192.6</v>
      </c>
      <c r="I359">
        <v>156.30000000000001</v>
      </c>
      <c r="J359">
        <v>142.9</v>
      </c>
      <c r="K359">
        <v>170.7</v>
      </c>
      <c r="L359">
        <v>120.3</v>
      </c>
      <c r="M359">
        <v>210.5</v>
      </c>
      <c r="N359">
        <v>176.9</v>
      </c>
      <c r="O359">
        <v>188.5</v>
      </c>
      <c r="P359">
        <v>175</v>
      </c>
      <c r="Q359">
        <f t="shared" si="15"/>
        <v>2283.2000000000003</v>
      </c>
      <c r="R359">
        <v>196.9</v>
      </c>
      <c r="S359">
        <v>189</v>
      </c>
      <c r="T359">
        <v>186.3</v>
      </c>
      <c r="U359">
        <v>188.6</v>
      </c>
      <c r="V359">
        <v>563.9</v>
      </c>
      <c r="W359">
        <v>172.1</v>
      </c>
      <c r="X359">
        <v>183.2</v>
      </c>
      <c r="Y359">
        <v>177.2</v>
      </c>
      <c r="Z359">
        <f t="shared" si="16"/>
        <v>349.29999999999995</v>
      </c>
      <c r="AA359">
        <v>184.7</v>
      </c>
      <c r="AB359">
        <v>168.2</v>
      </c>
      <c r="AC359">
        <v>171.8</v>
      </c>
      <c r="AD359">
        <v>177.8</v>
      </c>
      <c r="AE359">
        <v>178.4</v>
      </c>
      <c r="AF359">
        <f t="shared" si="17"/>
        <v>363.1</v>
      </c>
      <c r="AG359">
        <v>176.5</v>
      </c>
      <c r="AH359">
        <v>177.8</v>
      </c>
    </row>
    <row r="360" spans="1:34" x14ac:dyDescent="0.35">
      <c r="A360" t="s">
        <v>30</v>
      </c>
      <c r="B360">
        <v>2023</v>
      </c>
      <c r="C360" t="s">
        <v>29</v>
      </c>
      <c r="D360">
        <v>173.3</v>
      </c>
      <c r="E360">
        <v>215.2</v>
      </c>
      <c r="F360">
        <v>197</v>
      </c>
      <c r="G360">
        <v>175.2</v>
      </c>
      <c r="H360">
        <v>178</v>
      </c>
      <c r="I360">
        <v>160.5</v>
      </c>
      <c r="J360">
        <v>175.3</v>
      </c>
      <c r="K360">
        <v>171.2</v>
      </c>
      <c r="L360">
        <v>122.7</v>
      </c>
      <c r="M360">
        <v>204.3</v>
      </c>
      <c r="N360">
        <v>163.69999999999999</v>
      </c>
      <c r="O360">
        <v>194.3</v>
      </c>
      <c r="P360">
        <v>179.5</v>
      </c>
      <c r="Q360">
        <f t="shared" si="15"/>
        <v>2310.2000000000003</v>
      </c>
      <c r="R360">
        <v>201.6</v>
      </c>
      <c r="S360">
        <v>178.7</v>
      </c>
      <c r="T360">
        <v>165.3</v>
      </c>
      <c r="U360">
        <v>176.6</v>
      </c>
      <c r="V360">
        <v>520.6</v>
      </c>
      <c r="W360">
        <v>172.1</v>
      </c>
      <c r="X360">
        <v>180.1</v>
      </c>
      <c r="Y360">
        <v>168</v>
      </c>
      <c r="Z360">
        <f t="shared" si="16"/>
        <v>340.1</v>
      </c>
      <c r="AA360">
        <v>178.5</v>
      </c>
      <c r="AB360">
        <v>159.5</v>
      </c>
      <c r="AC360">
        <v>167.8</v>
      </c>
      <c r="AD360">
        <v>171.8</v>
      </c>
      <c r="AE360">
        <v>178.8</v>
      </c>
      <c r="AF360">
        <f t="shared" si="17"/>
        <v>357.3</v>
      </c>
      <c r="AG360">
        <v>168.9</v>
      </c>
      <c r="AH360">
        <v>174.9</v>
      </c>
    </row>
    <row r="361" spans="1:34" x14ac:dyDescent="0.35">
      <c r="A361" t="s">
        <v>31</v>
      </c>
      <c r="B361">
        <v>2023</v>
      </c>
      <c r="C361" t="s">
        <v>29</v>
      </c>
      <c r="D361">
        <v>173.8</v>
      </c>
      <c r="E361">
        <v>210.7</v>
      </c>
      <c r="F361">
        <v>194.5</v>
      </c>
      <c r="G361">
        <v>174.6</v>
      </c>
      <c r="H361">
        <v>187.2</v>
      </c>
      <c r="I361">
        <v>158.30000000000001</v>
      </c>
      <c r="J361">
        <v>153.9</v>
      </c>
      <c r="K361">
        <v>170.9</v>
      </c>
      <c r="L361">
        <v>121.1</v>
      </c>
      <c r="M361">
        <v>208.4</v>
      </c>
      <c r="N361">
        <v>171.4</v>
      </c>
      <c r="O361">
        <v>191.2</v>
      </c>
      <c r="P361">
        <v>176.7</v>
      </c>
      <c r="Q361">
        <f t="shared" si="15"/>
        <v>2292.6999999999998</v>
      </c>
      <c r="R361">
        <v>198.2</v>
      </c>
      <c r="S361">
        <v>184.9</v>
      </c>
      <c r="T361">
        <v>177.6</v>
      </c>
      <c r="U361">
        <v>183.8</v>
      </c>
      <c r="V361">
        <v>546.29999999999995</v>
      </c>
      <c r="W361">
        <v>172.1</v>
      </c>
      <c r="X361">
        <v>182</v>
      </c>
      <c r="Y361">
        <v>172.9</v>
      </c>
      <c r="Z361">
        <f t="shared" si="16"/>
        <v>345</v>
      </c>
      <c r="AA361">
        <v>182.3</v>
      </c>
      <c r="AB361">
        <v>163.6</v>
      </c>
      <c r="AC361">
        <v>169.5</v>
      </c>
      <c r="AD361">
        <v>174.3</v>
      </c>
      <c r="AE361">
        <v>178.6</v>
      </c>
      <c r="AF361">
        <f t="shared" si="17"/>
        <v>360.9</v>
      </c>
      <c r="AG361">
        <v>172.8</v>
      </c>
      <c r="AH361">
        <v>176.5</v>
      </c>
    </row>
    <row r="362" spans="1:34" x14ac:dyDescent="0.35">
      <c r="A362" t="s">
        <v>28</v>
      </c>
      <c r="B362">
        <v>2023</v>
      </c>
      <c r="C362" t="s">
        <v>32</v>
      </c>
      <c r="D362">
        <v>174.2</v>
      </c>
      <c r="E362">
        <v>205.2</v>
      </c>
      <c r="F362">
        <v>173.9</v>
      </c>
      <c r="G362">
        <v>177</v>
      </c>
      <c r="H362">
        <v>183.4</v>
      </c>
      <c r="I362">
        <v>167.2</v>
      </c>
      <c r="J362">
        <v>140.9</v>
      </c>
      <c r="K362">
        <v>170.4</v>
      </c>
      <c r="L362">
        <v>119.1</v>
      </c>
      <c r="M362">
        <v>212.1</v>
      </c>
      <c r="N362">
        <v>177.6</v>
      </c>
      <c r="O362">
        <v>189.9</v>
      </c>
      <c r="P362">
        <v>174.8</v>
      </c>
      <c r="Q362">
        <f t="shared" si="15"/>
        <v>2265.6999999999998</v>
      </c>
      <c r="R362">
        <v>198.3</v>
      </c>
      <c r="S362">
        <v>190</v>
      </c>
      <c r="T362">
        <v>187</v>
      </c>
      <c r="U362">
        <v>189.6</v>
      </c>
      <c r="V362">
        <v>566.6</v>
      </c>
      <c r="W362">
        <v>173.5</v>
      </c>
      <c r="X362">
        <v>181.6</v>
      </c>
      <c r="Y362">
        <v>178.6</v>
      </c>
      <c r="Z362">
        <f t="shared" si="16"/>
        <v>352.1</v>
      </c>
      <c r="AA362">
        <v>186.6</v>
      </c>
      <c r="AB362">
        <v>169</v>
      </c>
      <c r="AC362">
        <v>172.8</v>
      </c>
      <c r="AD362">
        <v>178.5</v>
      </c>
      <c r="AE362">
        <v>180.7</v>
      </c>
      <c r="AF362">
        <f t="shared" si="17"/>
        <v>367.29999999999995</v>
      </c>
      <c r="AG362">
        <v>177.9</v>
      </c>
      <c r="AH362">
        <v>178</v>
      </c>
    </row>
    <row r="363" spans="1:34" x14ac:dyDescent="0.35">
      <c r="A363" t="s">
        <v>30</v>
      </c>
      <c r="B363">
        <v>2023</v>
      </c>
      <c r="C363" t="s">
        <v>32</v>
      </c>
      <c r="D363">
        <v>174.7</v>
      </c>
      <c r="E363">
        <v>212.2</v>
      </c>
      <c r="F363">
        <v>177.2</v>
      </c>
      <c r="G363">
        <v>177.9</v>
      </c>
      <c r="H363">
        <v>172.2</v>
      </c>
      <c r="I363">
        <v>172.1</v>
      </c>
      <c r="J363">
        <v>175.8</v>
      </c>
      <c r="K363">
        <v>172.2</v>
      </c>
      <c r="L363">
        <v>121.9</v>
      </c>
      <c r="M363">
        <v>204.8</v>
      </c>
      <c r="N363">
        <v>164.9</v>
      </c>
      <c r="O363">
        <v>196.6</v>
      </c>
      <c r="P363">
        <v>180.7</v>
      </c>
      <c r="Q363">
        <f t="shared" si="15"/>
        <v>2303.1999999999998</v>
      </c>
      <c r="R363">
        <v>202.7</v>
      </c>
      <c r="S363">
        <v>180.3</v>
      </c>
      <c r="T363">
        <v>167</v>
      </c>
      <c r="U363">
        <v>178.2</v>
      </c>
      <c r="V363">
        <v>525.5</v>
      </c>
      <c r="W363">
        <v>173.5</v>
      </c>
      <c r="X363">
        <v>182.8</v>
      </c>
      <c r="Y363">
        <v>169.2</v>
      </c>
      <c r="Z363">
        <f t="shared" si="16"/>
        <v>342.7</v>
      </c>
      <c r="AA363">
        <v>180.8</v>
      </c>
      <c r="AB363">
        <v>159.80000000000001</v>
      </c>
      <c r="AC363">
        <v>168.4</v>
      </c>
      <c r="AD363">
        <v>172.5</v>
      </c>
      <c r="AE363">
        <v>181.4</v>
      </c>
      <c r="AF363">
        <f t="shared" si="17"/>
        <v>362.20000000000005</v>
      </c>
      <c r="AG363">
        <v>170</v>
      </c>
      <c r="AH363">
        <v>176.3</v>
      </c>
    </row>
    <row r="364" spans="1:34" x14ac:dyDescent="0.35">
      <c r="A364" t="s">
        <v>31</v>
      </c>
      <c r="B364">
        <v>2023</v>
      </c>
      <c r="C364" t="s">
        <v>32</v>
      </c>
      <c r="D364">
        <v>174.4</v>
      </c>
      <c r="E364">
        <v>207.7</v>
      </c>
      <c r="F364">
        <v>175.2</v>
      </c>
      <c r="G364">
        <v>177.3</v>
      </c>
      <c r="H364">
        <v>179.3</v>
      </c>
      <c r="I364">
        <v>169.5</v>
      </c>
      <c r="J364">
        <v>152.69999999999999</v>
      </c>
      <c r="K364">
        <v>171</v>
      </c>
      <c r="L364">
        <v>120</v>
      </c>
      <c r="M364">
        <v>209.7</v>
      </c>
      <c r="N364">
        <v>172.3</v>
      </c>
      <c r="O364">
        <v>193</v>
      </c>
      <c r="P364">
        <v>177</v>
      </c>
      <c r="Q364">
        <f t="shared" si="15"/>
        <v>2279.1</v>
      </c>
      <c r="R364">
        <v>199.5</v>
      </c>
      <c r="S364">
        <v>186.2</v>
      </c>
      <c r="T364">
        <v>178.7</v>
      </c>
      <c r="U364">
        <v>185.1</v>
      </c>
      <c r="V364">
        <v>550</v>
      </c>
      <c r="W364">
        <v>173.5</v>
      </c>
      <c r="X364">
        <v>182.1</v>
      </c>
      <c r="Y364">
        <v>174.2</v>
      </c>
      <c r="Z364">
        <f t="shared" si="16"/>
        <v>347.7</v>
      </c>
      <c r="AA364">
        <v>184.4</v>
      </c>
      <c r="AB364">
        <v>164.2</v>
      </c>
      <c r="AC364">
        <v>170.3</v>
      </c>
      <c r="AD364">
        <v>175</v>
      </c>
      <c r="AE364">
        <v>181</v>
      </c>
      <c r="AF364">
        <f t="shared" si="17"/>
        <v>365.4</v>
      </c>
      <c r="AG364">
        <v>174.1</v>
      </c>
      <c r="AH364">
        <v>177.2</v>
      </c>
    </row>
    <row r="365" spans="1:34" x14ac:dyDescent="0.35">
      <c r="A365" t="s">
        <v>28</v>
      </c>
      <c r="B365">
        <v>2023</v>
      </c>
      <c r="C365" t="s">
        <v>33</v>
      </c>
      <c r="D365">
        <v>174.3</v>
      </c>
      <c r="E365">
        <v>205.2</v>
      </c>
      <c r="F365">
        <v>173.9</v>
      </c>
      <c r="G365">
        <v>177</v>
      </c>
      <c r="H365">
        <v>183.3</v>
      </c>
      <c r="I365">
        <v>167.2</v>
      </c>
      <c r="J365">
        <v>140.9</v>
      </c>
      <c r="K365">
        <v>170.5</v>
      </c>
      <c r="L365">
        <v>119.1</v>
      </c>
      <c r="M365">
        <v>212.1</v>
      </c>
      <c r="N365">
        <v>177.6</v>
      </c>
      <c r="O365">
        <v>189.9</v>
      </c>
      <c r="P365">
        <v>174.8</v>
      </c>
      <c r="Q365">
        <f t="shared" si="15"/>
        <v>2265.8000000000002</v>
      </c>
      <c r="R365">
        <v>198.4</v>
      </c>
      <c r="S365">
        <v>190</v>
      </c>
      <c r="T365">
        <v>187</v>
      </c>
      <c r="U365">
        <v>189.6</v>
      </c>
      <c r="V365">
        <v>566.6</v>
      </c>
      <c r="W365">
        <v>173.5</v>
      </c>
      <c r="X365">
        <v>181.4</v>
      </c>
      <c r="Y365">
        <v>178.6</v>
      </c>
      <c r="Z365">
        <f t="shared" si="16"/>
        <v>352.1</v>
      </c>
      <c r="AA365">
        <v>186.6</v>
      </c>
      <c r="AB365">
        <v>169</v>
      </c>
      <c r="AC365">
        <v>172.8</v>
      </c>
      <c r="AD365">
        <v>178.5</v>
      </c>
      <c r="AE365">
        <v>180.7</v>
      </c>
      <c r="AF365">
        <f t="shared" si="17"/>
        <v>367.29999999999995</v>
      </c>
      <c r="AG365">
        <v>177.9</v>
      </c>
      <c r="AH365">
        <v>178</v>
      </c>
    </row>
    <row r="366" spans="1:34" x14ac:dyDescent="0.35">
      <c r="A366" t="s">
        <v>30</v>
      </c>
      <c r="B366">
        <v>2023</v>
      </c>
      <c r="C366" t="s">
        <v>33</v>
      </c>
      <c r="D366">
        <v>174.7</v>
      </c>
      <c r="E366">
        <v>212.2</v>
      </c>
      <c r="F366">
        <v>177.2</v>
      </c>
      <c r="G366">
        <v>177.9</v>
      </c>
      <c r="H366">
        <v>172.2</v>
      </c>
      <c r="I366">
        <v>172.1</v>
      </c>
      <c r="J366">
        <v>175.9</v>
      </c>
      <c r="K366">
        <v>172.2</v>
      </c>
      <c r="L366">
        <v>121.9</v>
      </c>
      <c r="M366">
        <v>204.8</v>
      </c>
      <c r="N366">
        <v>164.9</v>
      </c>
      <c r="O366">
        <v>196.6</v>
      </c>
      <c r="P366">
        <v>180.8</v>
      </c>
      <c r="Q366">
        <f t="shared" si="15"/>
        <v>2303.4</v>
      </c>
      <c r="R366">
        <v>202.7</v>
      </c>
      <c r="S366">
        <v>180.2</v>
      </c>
      <c r="T366">
        <v>167</v>
      </c>
      <c r="U366">
        <v>178.2</v>
      </c>
      <c r="V366">
        <v>525.4</v>
      </c>
      <c r="W366">
        <v>173.5</v>
      </c>
      <c r="X366">
        <v>182.6</v>
      </c>
      <c r="Y366">
        <v>169.2</v>
      </c>
      <c r="Z366">
        <f t="shared" si="16"/>
        <v>342.7</v>
      </c>
      <c r="AA366">
        <v>180.8</v>
      </c>
      <c r="AB366">
        <v>159.80000000000001</v>
      </c>
      <c r="AC366">
        <v>168.4</v>
      </c>
      <c r="AD366">
        <v>172.5</v>
      </c>
      <c r="AE366">
        <v>181.5</v>
      </c>
      <c r="AF366">
        <f t="shared" si="17"/>
        <v>362.3</v>
      </c>
      <c r="AG366">
        <v>170</v>
      </c>
      <c r="AH366">
        <v>176.3</v>
      </c>
    </row>
    <row r="367" spans="1:34" x14ac:dyDescent="0.35">
      <c r="A367" t="s">
        <v>31</v>
      </c>
      <c r="B367">
        <v>2023</v>
      </c>
      <c r="C367" t="s">
        <v>33</v>
      </c>
      <c r="D367">
        <v>174.4</v>
      </c>
      <c r="E367">
        <v>207.7</v>
      </c>
      <c r="F367">
        <v>175.2</v>
      </c>
      <c r="G367">
        <v>177.3</v>
      </c>
      <c r="H367">
        <v>179.2</v>
      </c>
      <c r="I367">
        <v>169.5</v>
      </c>
      <c r="J367">
        <v>152.80000000000001</v>
      </c>
      <c r="K367">
        <v>171.1</v>
      </c>
      <c r="L367">
        <v>120</v>
      </c>
      <c r="M367">
        <v>209.7</v>
      </c>
      <c r="N367">
        <v>172.3</v>
      </c>
      <c r="O367">
        <v>193</v>
      </c>
      <c r="P367">
        <v>177</v>
      </c>
      <c r="Q367">
        <f t="shared" si="15"/>
        <v>2279.1999999999998</v>
      </c>
      <c r="R367">
        <v>199.5</v>
      </c>
      <c r="S367">
        <v>186.1</v>
      </c>
      <c r="T367">
        <v>178.7</v>
      </c>
      <c r="U367">
        <v>185.1</v>
      </c>
      <c r="V367">
        <v>549.9</v>
      </c>
      <c r="W367">
        <v>173.5</v>
      </c>
      <c r="X367">
        <v>181.9</v>
      </c>
      <c r="Y367">
        <v>174.2</v>
      </c>
      <c r="Z367">
        <f t="shared" si="16"/>
        <v>347.7</v>
      </c>
      <c r="AA367">
        <v>184.4</v>
      </c>
      <c r="AB367">
        <v>164.2</v>
      </c>
      <c r="AC367">
        <v>170.3</v>
      </c>
      <c r="AD367">
        <v>175</v>
      </c>
      <c r="AE367">
        <v>181</v>
      </c>
      <c r="AF367">
        <f t="shared" si="17"/>
        <v>365.4</v>
      </c>
      <c r="AG367">
        <v>174.1</v>
      </c>
      <c r="AH367">
        <v>177.2</v>
      </c>
    </row>
    <row r="368" spans="1:34" x14ac:dyDescent="0.35">
      <c r="A368" t="s">
        <v>28</v>
      </c>
      <c r="B368">
        <v>2023</v>
      </c>
      <c r="C368" t="s">
        <v>34</v>
      </c>
      <c r="D368">
        <v>173.3</v>
      </c>
      <c r="E368">
        <v>206.9</v>
      </c>
      <c r="F368">
        <v>167.9</v>
      </c>
      <c r="G368">
        <v>178.2</v>
      </c>
      <c r="H368">
        <v>178.5</v>
      </c>
      <c r="I368">
        <v>173.7</v>
      </c>
      <c r="J368">
        <v>142.80000000000001</v>
      </c>
      <c r="K368">
        <v>172.8</v>
      </c>
      <c r="L368">
        <v>120.4</v>
      </c>
      <c r="M368">
        <v>215.5</v>
      </c>
      <c r="N368">
        <v>178.2</v>
      </c>
      <c r="O368">
        <v>190.5</v>
      </c>
      <c r="P368">
        <v>175.5</v>
      </c>
      <c r="Q368">
        <f t="shared" si="15"/>
        <v>2274.1999999999998</v>
      </c>
      <c r="R368">
        <v>199.5</v>
      </c>
      <c r="S368">
        <v>190.7</v>
      </c>
      <c r="T368">
        <v>187.3</v>
      </c>
      <c r="U368">
        <v>190.2</v>
      </c>
      <c r="V368">
        <v>568.20000000000005</v>
      </c>
      <c r="W368">
        <v>175.2</v>
      </c>
      <c r="X368">
        <v>181.5</v>
      </c>
      <c r="Y368">
        <v>179.1</v>
      </c>
      <c r="Z368">
        <f t="shared" si="16"/>
        <v>354.29999999999995</v>
      </c>
      <c r="AA368">
        <v>187.2</v>
      </c>
      <c r="AB368">
        <v>169.4</v>
      </c>
      <c r="AC368">
        <v>173.2</v>
      </c>
      <c r="AD368">
        <v>179.4</v>
      </c>
      <c r="AE368">
        <v>183.8</v>
      </c>
      <c r="AF368">
        <f t="shared" si="17"/>
        <v>371</v>
      </c>
      <c r="AG368">
        <v>178.9</v>
      </c>
      <c r="AH368">
        <v>178.8</v>
      </c>
    </row>
    <row r="369" spans="1:34" x14ac:dyDescent="0.35">
      <c r="A369" t="s">
        <v>30</v>
      </c>
      <c r="B369">
        <v>2023</v>
      </c>
      <c r="C369" t="s">
        <v>34</v>
      </c>
      <c r="D369">
        <v>174.8</v>
      </c>
      <c r="E369">
        <v>213.7</v>
      </c>
      <c r="F369">
        <v>172.4</v>
      </c>
      <c r="G369">
        <v>178.8</v>
      </c>
      <c r="H369">
        <v>168.7</v>
      </c>
      <c r="I369">
        <v>179.2</v>
      </c>
      <c r="J369">
        <v>179.9</v>
      </c>
      <c r="K369">
        <v>174.7</v>
      </c>
      <c r="L369">
        <v>123.1</v>
      </c>
      <c r="M369">
        <v>207.8</v>
      </c>
      <c r="N369">
        <v>165.5</v>
      </c>
      <c r="O369">
        <v>197</v>
      </c>
      <c r="P369">
        <v>182.1</v>
      </c>
      <c r="Q369">
        <f t="shared" si="15"/>
        <v>2317.7000000000003</v>
      </c>
      <c r="R369">
        <v>203.5</v>
      </c>
      <c r="S369">
        <v>181</v>
      </c>
      <c r="T369">
        <v>167.7</v>
      </c>
      <c r="U369">
        <v>178.9</v>
      </c>
      <c r="V369">
        <v>527.6</v>
      </c>
      <c r="W369">
        <v>175.2</v>
      </c>
      <c r="X369">
        <v>182.1</v>
      </c>
      <c r="Y369">
        <v>169.6</v>
      </c>
      <c r="Z369">
        <f t="shared" si="16"/>
        <v>344.79999999999995</v>
      </c>
      <c r="AA369">
        <v>181.5</v>
      </c>
      <c r="AB369">
        <v>160.1</v>
      </c>
      <c r="AC369">
        <v>168.8</v>
      </c>
      <c r="AD369">
        <v>174.2</v>
      </c>
      <c r="AE369">
        <v>184.4</v>
      </c>
      <c r="AF369">
        <f t="shared" si="17"/>
        <v>365.9</v>
      </c>
      <c r="AG369">
        <v>170.9</v>
      </c>
      <c r="AH369">
        <v>177.4</v>
      </c>
    </row>
    <row r="370" spans="1:34" x14ac:dyDescent="0.35">
      <c r="A370" t="s">
        <v>31</v>
      </c>
      <c r="B370">
        <v>2023</v>
      </c>
      <c r="C370" t="s">
        <v>34</v>
      </c>
      <c r="D370">
        <v>173.8</v>
      </c>
      <c r="E370">
        <v>209.3</v>
      </c>
      <c r="F370">
        <v>169.6</v>
      </c>
      <c r="G370">
        <v>178.4</v>
      </c>
      <c r="H370">
        <v>174.9</v>
      </c>
      <c r="I370">
        <v>176.3</v>
      </c>
      <c r="J370">
        <v>155.4</v>
      </c>
      <c r="K370">
        <v>173.4</v>
      </c>
      <c r="L370">
        <v>121.3</v>
      </c>
      <c r="M370">
        <v>212.9</v>
      </c>
      <c r="N370">
        <v>172.9</v>
      </c>
      <c r="O370">
        <v>193.5</v>
      </c>
      <c r="P370">
        <v>177.9</v>
      </c>
      <c r="Q370">
        <f t="shared" si="15"/>
        <v>2289.6000000000004</v>
      </c>
      <c r="R370">
        <v>200.6</v>
      </c>
      <c r="S370">
        <v>186.9</v>
      </c>
      <c r="T370">
        <v>179.2</v>
      </c>
      <c r="U370">
        <v>185.7</v>
      </c>
      <c r="V370">
        <v>551.79999999999995</v>
      </c>
      <c r="W370">
        <v>175.2</v>
      </c>
      <c r="X370">
        <v>181.7</v>
      </c>
      <c r="Y370">
        <v>174.6</v>
      </c>
      <c r="Z370">
        <f t="shared" si="16"/>
        <v>349.79999999999995</v>
      </c>
      <c r="AA370">
        <v>185</v>
      </c>
      <c r="AB370">
        <v>164.5</v>
      </c>
      <c r="AC370">
        <v>170.7</v>
      </c>
      <c r="AD370">
        <v>176.4</v>
      </c>
      <c r="AE370">
        <v>184</v>
      </c>
      <c r="AF370">
        <f t="shared" si="17"/>
        <v>369</v>
      </c>
      <c r="AG370">
        <v>175</v>
      </c>
      <c r="AH370">
        <v>178.1</v>
      </c>
    </row>
    <row r="371" spans="1:34" x14ac:dyDescent="0.35">
      <c r="A371" t="s">
        <v>28</v>
      </c>
      <c r="B371">
        <v>2023</v>
      </c>
      <c r="C371" t="s">
        <v>35</v>
      </c>
      <c r="D371">
        <v>173.2</v>
      </c>
      <c r="E371">
        <v>211.5</v>
      </c>
      <c r="F371">
        <v>171</v>
      </c>
      <c r="G371">
        <v>179.6</v>
      </c>
      <c r="H371">
        <v>173.3</v>
      </c>
      <c r="I371">
        <v>169</v>
      </c>
      <c r="J371">
        <v>148.69999999999999</v>
      </c>
      <c r="K371">
        <v>174.9</v>
      </c>
      <c r="L371">
        <v>121.9</v>
      </c>
      <c r="M371">
        <v>221</v>
      </c>
      <c r="N371">
        <v>178.7</v>
      </c>
      <c r="O371">
        <v>191.1</v>
      </c>
      <c r="P371">
        <v>176.8</v>
      </c>
      <c r="Q371">
        <f t="shared" si="15"/>
        <v>2290.7000000000007</v>
      </c>
      <c r="R371">
        <v>199.9</v>
      </c>
      <c r="S371">
        <v>191.2</v>
      </c>
      <c r="T371">
        <v>187.9</v>
      </c>
      <c r="U371">
        <v>190.8</v>
      </c>
      <c r="V371">
        <v>569.90000000000009</v>
      </c>
      <c r="W371">
        <v>175.6</v>
      </c>
      <c r="X371">
        <v>182.5</v>
      </c>
      <c r="Y371">
        <v>179.8</v>
      </c>
      <c r="Z371">
        <f t="shared" si="16"/>
        <v>355.4</v>
      </c>
      <c r="AA371">
        <v>187.8</v>
      </c>
      <c r="AB371">
        <v>169.7</v>
      </c>
      <c r="AC371">
        <v>173.8</v>
      </c>
      <c r="AD371">
        <v>180.3</v>
      </c>
      <c r="AE371">
        <v>184.9</v>
      </c>
      <c r="AF371">
        <f t="shared" si="17"/>
        <v>372.70000000000005</v>
      </c>
      <c r="AG371">
        <v>179.5</v>
      </c>
      <c r="AH371">
        <v>179.8</v>
      </c>
    </row>
    <row r="372" spans="1:34" x14ac:dyDescent="0.35">
      <c r="A372" t="s">
        <v>30</v>
      </c>
      <c r="B372">
        <v>2023</v>
      </c>
      <c r="C372" t="s">
        <v>35</v>
      </c>
      <c r="D372">
        <v>174.7</v>
      </c>
      <c r="E372">
        <v>219.4</v>
      </c>
      <c r="F372">
        <v>176.7</v>
      </c>
      <c r="G372">
        <v>179.4</v>
      </c>
      <c r="H372">
        <v>164.4</v>
      </c>
      <c r="I372">
        <v>175.8</v>
      </c>
      <c r="J372">
        <v>185</v>
      </c>
      <c r="K372">
        <v>176.9</v>
      </c>
      <c r="L372">
        <v>124.2</v>
      </c>
      <c r="M372">
        <v>211.9</v>
      </c>
      <c r="N372">
        <v>165.9</v>
      </c>
      <c r="O372">
        <v>197.7</v>
      </c>
      <c r="P372">
        <v>183.1</v>
      </c>
      <c r="Q372">
        <f t="shared" si="15"/>
        <v>2335.1</v>
      </c>
      <c r="R372">
        <v>204.2</v>
      </c>
      <c r="S372">
        <v>181.3</v>
      </c>
      <c r="T372">
        <v>168.1</v>
      </c>
      <c r="U372">
        <v>179.3</v>
      </c>
      <c r="V372">
        <v>528.70000000000005</v>
      </c>
      <c r="W372">
        <v>175.6</v>
      </c>
      <c r="X372">
        <v>183.4</v>
      </c>
      <c r="Y372">
        <v>170.1</v>
      </c>
      <c r="Z372">
        <f t="shared" si="16"/>
        <v>345.7</v>
      </c>
      <c r="AA372">
        <v>182.2</v>
      </c>
      <c r="AB372">
        <v>160.4</v>
      </c>
      <c r="AC372">
        <v>169.2</v>
      </c>
      <c r="AD372">
        <v>174.8</v>
      </c>
      <c r="AE372">
        <v>185.6</v>
      </c>
      <c r="AF372">
        <f t="shared" si="17"/>
        <v>367.79999999999995</v>
      </c>
      <c r="AG372">
        <v>171.6</v>
      </c>
      <c r="AH372">
        <v>178.2</v>
      </c>
    </row>
    <row r="373" spans="1:34" x14ac:dyDescent="0.35">
      <c r="A373" t="s">
        <v>31</v>
      </c>
      <c r="B373">
        <v>2023</v>
      </c>
      <c r="C373" t="s">
        <v>35</v>
      </c>
      <c r="D373">
        <v>173.7</v>
      </c>
      <c r="E373">
        <v>214.3</v>
      </c>
      <c r="F373">
        <v>173.2</v>
      </c>
      <c r="G373">
        <v>179.5</v>
      </c>
      <c r="H373">
        <v>170</v>
      </c>
      <c r="I373">
        <v>172.2</v>
      </c>
      <c r="J373">
        <v>161</v>
      </c>
      <c r="K373">
        <v>175.6</v>
      </c>
      <c r="L373">
        <v>122.7</v>
      </c>
      <c r="M373">
        <v>218</v>
      </c>
      <c r="N373">
        <v>173.4</v>
      </c>
      <c r="O373">
        <v>194.2</v>
      </c>
      <c r="P373">
        <v>179.1</v>
      </c>
      <c r="Q373">
        <f t="shared" si="15"/>
        <v>2306.9</v>
      </c>
      <c r="R373">
        <v>201</v>
      </c>
      <c r="S373">
        <v>187.3</v>
      </c>
      <c r="T373">
        <v>179.7</v>
      </c>
      <c r="U373">
        <v>186.2</v>
      </c>
      <c r="V373">
        <v>553.20000000000005</v>
      </c>
      <c r="W373">
        <v>175.6</v>
      </c>
      <c r="X373">
        <v>182.8</v>
      </c>
      <c r="Y373">
        <v>175.2</v>
      </c>
      <c r="Z373">
        <f t="shared" si="16"/>
        <v>350.79999999999995</v>
      </c>
      <c r="AA373">
        <v>185.7</v>
      </c>
      <c r="AB373">
        <v>164.8</v>
      </c>
      <c r="AC373">
        <v>171.2</v>
      </c>
      <c r="AD373">
        <v>177.1</v>
      </c>
      <c r="AE373">
        <v>185.2</v>
      </c>
      <c r="AF373">
        <f t="shared" si="17"/>
        <v>370.9</v>
      </c>
      <c r="AG373">
        <v>175.7</v>
      </c>
      <c r="AH373">
        <v>179.1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EA665-5208-41B4-9607-030C4311569D}">
  <dimension ref="A1:M26"/>
  <sheetViews>
    <sheetView topLeftCell="A4" zoomScaleNormal="100" workbookViewId="0">
      <selection activeCell="B14" sqref="B14"/>
    </sheetView>
  </sheetViews>
  <sheetFormatPr defaultRowHeight="14.5" x14ac:dyDescent="0.35"/>
  <cols>
    <col min="1" max="1" width="12.36328125" bestFit="1" customWidth="1"/>
    <col min="2" max="2" width="20.7265625" bestFit="1" customWidth="1"/>
    <col min="3" max="3" width="34.81640625" bestFit="1" customWidth="1"/>
    <col min="4" max="4" width="35.90625" bestFit="1" customWidth="1"/>
    <col min="5" max="5" width="21.6328125" bestFit="1" customWidth="1"/>
    <col min="6" max="6" width="51.453125" bestFit="1" customWidth="1"/>
    <col min="7" max="7" width="36.08984375" bestFit="1" customWidth="1"/>
    <col min="8" max="8" width="33.81640625" bestFit="1" customWidth="1"/>
    <col min="9" max="9" width="18.7265625" bestFit="1" customWidth="1"/>
    <col min="10" max="10" width="46.08984375" bestFit="1" customWidth="1"/>
    <col min="11" max="11" width="22.26953125" bestFit="1" customWidth="1"/>
  </cols>
  <sheetData>
    <row r="1" spans="1:13" ht="15.5" x14ac:dyDescent="0.35">
      <c r="A1" s="26" t="s">
        <v>119</v>
      </c>
      <c r="B1" s="26"/>
      <c r="C1" s="26"/>
      <c r="D1" s="26"/>
      <c r="E1" s="26"/>
      <c r="F1" s="26"/>
      <c r="G1" s="26"/>
      <c r="H1" s="26"/>
      <c r="I1" s="26"/>
      <c r="J1" s="26"/>
      <c r="K1" s="25"/>
      <c r="L1" s="25"/>
      <c r="M1" s="25"/>
    </row>
    <row r="2" spans="1:13" ht="15.5" x14ac:dyDescent="0.35">
      <c r="A2" s="26" t="s">
        <v>117</v>
      </c>
      <c r="B2" s="26"/>
      <c r="C2" s="26"/>
      <c r="D2" s="26"/>
      <c r="E2" s="26"/>
      <c r="F2" s="26"/>
      <c r="G2" s="26"/>
      <c r="H2" s="26"/>
      <c r="I2" s="26"/>
      <c r="J2" s="26"/>
      <c r="K2" s="25"/>
      <c r="L2" s="25"/>
      <c r="M2" s="25"/>
    </row>
    <row r="3" spans="1:13" ht="15.5" x14ac:dyDescent="0.35">
      <c r="A3" s="26" t="s">
        <v>118</v>
      </c>
      <c r="B3" s="26"/>
      <c r="C3" s="26"/>
      <c r="D3" s="26"/>
      <c r="E3" s="26"/>
      <c r="F3" s="26"/>
      <c r="G3" s="26"/>
      <c r="H3" s="26"/>
      <c r="I3" s="26"/>
      <c r="J3" s="26"/>
      <c r="K3" s="25"/>
      <c r="L3" s="25"/>
      <c r="M3" s="25"/>
    </row>
    <row r="5" spans="1:13" x14ac:dyDescent="0.35">
      <c r="A5" s="1" t="s">
        <v>1</v>
      </c>
      <c r="B5" s="2">
        <v>2023</v>
      </c>
    </row>
    <row r="6" spans="1:13" x14ac:dyDescent="0.35">
      <c r="A6" s="1" t="s">
        <v>2</v>
      </c>
      <c r="B6" t="s">
        <v>35</v>
      </c>
    </row>
    <row r="8" spans="1:13" x14ac:dyDescent="0.35">
      <c r="A8" s="1" t="s">
        <v>0</v>
      </c>
      <c r="B8" t="s">
        <v>101</v>
      </c>
      <c r="C8" t="s">
        <v>48</v>
      </c>
      <c r="D8" t="s">
        <v>102</v>
      </c>
      <c r="E8" t="s">
        <v>51</v>
      </c>
      <c r="F8" t="s">
        <v>121</v>
      </c>
      <c r="G8" t="s">
        <v>47</v>
      </c>
      <c r="H8" t="s">
        <v>50</v>
      </c>
      <c r="I8" t="s">
        <v>49</v>
      </c>
      <c r="J8" t="s">
        <v>120</v>
      </c>
      <c r="K8" t="s">
        <v>52</v>
      </c>
    </row>
    <row r="9" spans="1:13" x14ac:dyDescent="0.35">
      <c r="A9" s="2" t="s">
        <v>31</v>
      </c>
      <c r="B9">
        <v>2306.9</v>
      </c>
      <c r="C9">
        <v>201</v>
      </c>
      <c r="D9">
        <v>553.20000000000005</v>
      </c>
      <c r="E9">
        <v>182.8</v>
      </c>
      <c r="F9">
        <v>350.79999999999995</v>
      </c>
      <c r="G9">
        <v>164.8</v>
      </c>
      <c r="H9">
        <v>171.2</v>
      </c>
      <c r="I9">
        <v>177.1</v>
      </c>
      <c r="J9">
        <v>370.9</v>
      </c>
      <c r="K9">
        <v>175.7</v>
      </c>
    </row>
    <row r="12" spans="1:13" x14ac:dyDescent="0.35">
      <c r="A12" s="17" t="s">
        <v>0</v>
      </c>
      <c r="B12" s="17" t="s">
        <v>101</v>
      </c>
      <c r="C12" s="17" t="s">
        <v>48</v>
      </c>
      <c r="D12" s="17" t="s">
        <v>102</v>
      </c>
      <c r="E12" s="17" t="s">
        <v>51</v>
      </c>
      <c r="F12" s="17" t="s">
        <v>121</v>
      </c>
      <c r="G12" s="17" t="s">
        <v>47</v>
      </c>
      <c r="H12" s="17" t="s">
        <v>50</v>
      </c>
      <c r="I12" s="17" t="s">
        <v>49</v>
      </c>
      <c r="J12" s="17" t="s">
        <v>120</v>
      </c>
      <c r="K12" s="17" t="s">
        <v>52</v>
      </c>
      <c r="L12" s="18" t="s">
        <v>103</v>
      </c>
    </row>
    <row r="13" spans="1:13" x14ac:dyDescent="0.35">
      <c r="A13" s="2" t="s">
        <v>31</v>
      </c>
      <c r="B13">
        <v>2306.9</v>
      </c>
      <c r="C13">
        <v>201</v>
      </c>
      <c r="D13">
        <v>553.20000000000005</v>
      </c>
      <c r="E13">
        <v>182.8</v>
      </c>
      <c r="F13">
        <v>350.79999999999995</v>
      </c>
      <c r="G13">
        <v>164.8</v>
      </c>
      <c r="H13">
        <v>171.2</v>
      </c>
      <c r="I13">
        <v>177.1</v>
      </c>
      <c r="J13">
        <v>370.9</v>
      </c>
      <c r="K13">
        <v>175.7</v>
      </c>
      <c r="L13">
        <f>SUM(B13:K13)</f>
        <v>4654.4000000000005</v>
      </c>
    </row>
    <row r="14" spans="1:13" x14ac:dyDescent="0.35">
      <c r="A14" t="s">
        <v>55</v>
      </c>
      <c r="B14" s="28">
        <f>B13/$L$13*100</f>
        <v>49.563853557923679</v>
      </c>
      <c r="C14" s="19">
        <f>C13/$L$13*100</f>
        <v>4.3184943279477483</v>
      </c>
      <c r="D14" s="19">
        <f t="shared" ref="D14:E14" si="0">D13/$L$13*100</f>
        <v>11.885527672739773</v>
      </c>
      <c r="E14" s="19">
        <f t="shared" si="0"/>
        <v>3.9274664833276041</v>
      </c>
      <c r="F14" s="19">
        <f>F13/$L$13*100</f>
        <v>7.5369542798212423</v>
      </c>
      <c r="G14" s="19">
        <f>G13/$L$13*100</f>
        <v>3.5407356479889995</v>
      </c>
      <c r="H14" s="19">
        <f t="shared" ref="H14" si="1">H13/$L$13*100</f>
        <v>3.678239944998281</v>
      </c>
      <c r="I14" s="19">
        <f t="shared" ref="I14" si="2">I13/$L$13*100</f>
        <v>3.805001718803712</v>
      </c>
      <c r="J14" s="19">
        <f>J13/$L$13*100</f>
        <v>7.9688037126160181</v>
      </c>
      <c r="K14" s="19">
        <f t="shared" ref="K14" si="3">K13/$L$13*100</f>
        <v>3.7749226538329315</v>
      </c>
    </row>
    <row r="18" spans="1:3" x14ac:dyDescent="0.35">
      <c r="A18" s="41" t="s">
        <v>122</v>
      </c>
      <c r="B18" s="41"/>
      <c r="C18" s="41"/>
    </row>
    <row r="20" spans="1:3" x14ac:dyDescent="0.35">
      <c r="B20" s="21"/>
    </row>
    <row r="21" spans="1:3" x14ac:dyDescent="0.35">
      <c r="B21" s="21"/>
    </row>
    <row r="22" spans="1:3" x14ac:dyDescent="0.35">
      <c r="B22" s="21"/>
    </row>
    <row r="23" spans="1:3" x14ac:dyDescent="0.35">
      <c r="B23" s="21"/>
    </row>
    <row r="24" spans="1:3" x14ac:dyDescent="0.35">
      <c r="B24" s="21"/>
    </row>
    <row r="25" spans="1:3" x14ac:dyDescent="0.35">
      <c r="B25" s="21"/>
    </row>
    <row r="26" spans="1:3" x14ac:dyDescent="0.35">
      <c r="B26" s="20"/>
    </row>
  </sheetData>
  <mergeCells count="1">
    <mergeCell ref="A18:C18"/>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DD88-0F9F-4949-8A5B-7446CD561260}">
  <dimension ref="A1:L19"/>
  <sheetViews>
    <sheetView workbookViewId="0">
      <selection activeCell="C5" sqref="C5"/>
    </sheetView>
  </sheetViews>
  <sheetFormatPr defaultRowHeight="14.5" x14ac:dyDescent="0.35"/>
  <cols>
    <col min="1" max="1" width="12.36328125" bestFit="1" customWidth="1"/>
    <col min="2" max="2" width="22" bestFit="1" customWidth="1"/>
    <col min="5" max="5" width="22" bestFit="1" customWidth="1"/>
    <col min="6" max="6" width="13.26953125" bestFit="1" customWidth="1"/>
  </cols>
  <sheetData>
    <row r="1" spans="1:12" ht="15.5" x14ac:dyDescent="0.35">
      <c r="A1" s="23" t="s">
        <v>123</v>
      </c>
      <c r="B1" s="24"/>
      <c r="C1" s="24"/>
      <c r="D1" s="24"/>
      <c r="E1" s="24"/>
      <c r="F1" s="24"/>
      <c r="G1" s="24"/>
      <c r="H1" s="24"/>
      <c r="I1" s="24"/>
      <c r="J1" s="24"/>
      <c r="K1" s="24"/>
      <c r="L1" s="24"/>
    </row>
    <row r="2" spans="1:12" ht="15.5" x14ac:dyDescent="0.35">
      <c r="A2" s="23" t="s">
        <v>124</v>
      </c>
      <c r="B2" s="24"/>
      <c r="C2" s="24"/>
      <c r="D2" s="24"/>
      <c r="E2" s="24"/>
      <c r="F2" s="24"/>
      <c r="G2" s="24"/>
      <c r="H2" s="24"/>
      <c r="I2" s="24"/>
      <c r="J2" s="24"/>
      <c r="K2" s="24"/>
      <c r="L2" s="24"/>
    </row>
    <row r="3" spans="1:12" ht="15.5" x14ac:dyDescent="0.35">
      <c r="A3" s="23" t="s">
        <v>125</v>
      </c>
      <c r="B3" s="24"/>
      <c r="C3" s="24"/>
      <c r="D3" s="24"/>
      <c r="E3" s="24"/>
      <c r="F3" s="24"/>
      <c r="G3" s="24"/>
      <c r="H3" s="24"/>
      <c r="I3" s="24"/>
      <c r="J3" s="24"/>
      <c r="K3" s="24"/>
      <c r="L3" s="24"/>
    </row>
    <row r="5" spans="1:12" x14ac:dyDescent="0.35">
      <c r="A5" s="1" t="s">
        <v>0</v>
      </c>
      <c r="B5" t="s">
        <v>31</v>
      </c>
    </row>
    <row r="7" spans="1:12" x14ac:dyDescent="0.35">
      <c r="A7" s="1" t="s">
        <v>56</v>
      </c>
      <c r="B7" t="s">
        <v>53</v>
      </c>
      <c r="D7" s="27" t="s">
        <v>56</v>
      </c>
      <c r="E7" s="27" t="s">
        <v>53</v>
      </c>
      <c r="F7" s="27" t="s">
        <v>126</v>
      </c>
    </row>
    <row r="8" spans="1:12" x14ac:dyDescent="0.35">
      <c r="A8" s="2">
        <v>2016</v>
      </c>
      <c r="B8" s="3">
        <v>129.19999999999999</v>
      </c>
      <c r="D8" s="2">
        <v>2016</v>
      </c>
      <c r="E8" s="3">
        <v>129.19999999999999</v>
      </c>
    </row>
    <row r="9" spans="1:12" x14ac:dyDescent="0.35">
      <c r="A9" s="2">
        <v>2017</v>
      </c>
      <c r="B9" s="3">
        <v>133.49999999999997</v>
      </c>
      <c r="D9" s="2">
        <v>2017</v>
      </c>
      <c r="E9" s="3">
        <v>133.49999999999997</v>
      </c>
      <c r="F9" s="3">
        <f>(E9-E8)/E8*100</f>
        <v>3.32817337461299</v>
      </c>
    </row>
    <row r="10" spans="1:12" x14ac:dyDescent="0.35">
      <c r="A10" s="2">
        <v>2018</v>
      </c>
      <c r="B10" s="3">
        <v>138.77500000000001</v>
      </c>
      <c r="D10" s="2">
        <v>2018</v>
      </c>
      <c r="E10" s="3">
        <v>138.77500000000001</v>
      </c>
      <c r="F10" s="3">
        <f t="shared" ref="F10:F15" si="0">(E10-E9)/E9*100</f>
        <v>3.9513108614232477</v>
      </c>
    </row>
    <row r="11" spans="1:12" x14ac:dyDescent="0.35">
      <c r="A11" s="2">
        <v>2019</v>
      </c>
      <c r="B11" s="3">
        <v>144.18181818181822</v>
      </c>
      <c r="D11" s="2">
        <v>2019</v>
      </c>
      <c r="E11" s="3">
        <v>144.18181818181822</v>
      </c>
      <c r="F11" s="3">
        <f t="shared" si="0"/>
        <v>3.8961038961039161</v>
      </c>
    </row>
    <row r="12" spans="1:12" x14ac:dyDescent="0.35">
      <c r="A12" s="2">
        <v>2020</v>
      </c>
      <c r="B12" s="3">
        <v>152.59166666666667</v>
      </c>
      <c r="D12" s="2">
        <v>2020</v>
      </c>
      <c r="E12" s="3">
        <v>152.59166666666667</v>
      </c>
      <c r="F12" s="3">
        <f t="shared" si="0"/>
        <v>5.8328079024800106</v>
      </c>
    </row>
    <row r="13" spans="1:12" x14ac:dyDescent="0.35">
      <c r="A13" s="2">
        <v>2021</v>
      </c>
      <c r="B13" s="3">
        <v>161.45833333333331</v>
      </c>
      <c r="D13" s="2">
        <v>2021</v>
      </c>
      <c r="E13" s="3">
        <v>161.45833333333331</v>
      </c>
      <c r="F13" s="3">
        <f t="shared" si="0"/>
        <v>5.8107148708426486</v>
      </c>
    </row>
    <row r="14" spans="1:12" x14ac:dyDescent="0.35">
      <c r="A14" s="2">
        <v>2022</v>
      </c>
      <c r="B14" s="3">
        <v>172.14999999999998</v>
      </c>
      <c r="D14" s="2">
        <v>2022</v>
      </c>
      <c r="E14" s="3">
        <v>172.14999999999998</v>
      </c>
      <c r="F14" s="9">
        <f t="shared" si="0"/>
        <v>6.621935483870967</v>
      </c>
    </row>
    <row r="15" spans="1:12" x14ac:dyDescent="0.35">
      <c r="A15" s="2">
        <v>2023</v>
      </c>
      <c r="B15" s="3">
        <v>177.61999999999998</v>
      </c>
      <c r="D15" s="2">
        <v>2023</v>
      </c>
      <c r="E15" s="3">
        <v>177.61999999999998</v>
      </c>
      <c r="F15" s="3">
        <f t="shared" si="0"/>
        <v>3.1774615161196631</v>
      </c>
    </row>
    <row r="16" spans="1:12" x14ac:dyDescent="0.35">
      <c r="A16" s="2" t="s">
        <v>46</v>
      </c>
      <c r="B16">
        <v>149.16136363636369</v>
      </c>
    </row>
    <row r="19" spans="4:6" x14ac:dyDescent="0.35">
      <c r="D19" s="42" t="s">
        <v>127</v>
      </c>
      <c r="E19" s="42"/>
      <c r="F19" s="42"/>
    </row>
  </sheetData>
  <mergeCells count="1">
    <mergeCell ref="D19:F19"/>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F322-6D58-44D3-BB7E-8E68687516C0}">
  <dimension ref="A1:V50"/>
  <sheetViews>
    <sheetView topLeftCell="A43" workbookViewId="0">
      <selection activeCell="G52" sqref="G52"/>
    </sheetView>
  </sheetViews>
  <sheetFormatPr defaultRowHeight="14.5" x14ac:dyDescent="0.35"/>
  <cols>
    <col min="1" max="1" width="14.1796875" customWidth="1"/>
    <col min="2" max="2" width="13.54296875" customWidth="1"/>
  </cols>
  <sheetData>
    <row r="1" spans="1:22" ht="15.5" x14ac:dyDescent="0.35">
      <c r="A1" s="29" t="s">
        <v>128</v>
      </c>
      <c r="B1" s="30"/>
      <c r="C1" s="30"/>
      <c r="D1" s="30"/>
      <c r="E1" s="30"/>
      <c r="F1" s="30"/>
      <c r="G1" s="30"/>
      <c r="H1" s="30"/>
      <c r="I1" s="30"/>
      <c r="J1" s="30"/>
      <c r="K1" s="30"/>
      <c r="L1" s="30"/>
      <c r="M1" s="30"/>
      <c r="N1" s="30"/>
      <c r="O1" s="30"/>
      <c r="P1" s="30"/>
      <c r="Q1" s="30"/>
      <c r="R1" s="30"/>
      <c r="S1" s="30"/>
      <c r="T1" s="30"/>
      <c r="U1" s="30"/>
      <c r="V1" s="30"/>
    </row>
    <row r="2" spans="1:22" ht="15.5" x14ac:dyDescent="0.35">
      <c r="A2" s="29" t="s">
        <v>129</v>
      </c>
      <c r="B2" s="30"/>
      <c r="C2" s="30"/>
      <c r="D2" s="30"/>
      <c r="E2" s="30"/>
      <c r="F2" s="30"/>
      <c r="G2" s="30"/>
      <c r="H2" s="30"/>
      <c r="I2" s="30"/>
      <c r="J2" s="30"/>
      <c r="K2" s="30"/>
      <c r="L2" s="30"/>
      <c r="M2" s="30"/>
      <c r="N2" s="30"/>
      <c r="O2" s="30"/>
      <c r="P2" s="30"/>
      <c r="Q2" s="30"/>
      <c r="R2" s="30"/>
      <c r="S2" s="30"/>
      <c r="T2" s="30"/>
      <c r="U2" s="30"/>
      <c r="V2" s="30"/>
    </row>
    <row r="3" spans="1:22" ht="15.5" x14ac:dyDescent="0.35">
      <c r="A3" s="29" t="s">
        <v>130</v>
      </c>
      <c r="B3" s="30"/>
      <c r="C3" s="30"/>
      <c r="D3" s="30"/>
      <c r="E3" s="30"/>
      <c r="F3" s="30"/>
      <c r="G3" s="30"/>
      <c r="H3" s="30"/>
      <c r="I3" s="30"/>
      <c r="J3" s="30"/>
      <c r="K3" s="30"/>
      <c r="L3" s="30"/>
      <c r="M3" s="30"/>
      <c r="N3" s="30"/>
      <c r="O3" s="30"/>
      <c r="P3" s="30"/>
      <c r="Q3" s="30"/>
      <c r="R3" s="30"/>
      <c r="S3" s="30"/>
      <c r="T3" s="30"/>
      <c r="U3" s="30"/>
      <c r="V3" s="30"/>
    </row>
    <row r="6" spans="1:22" x14ac:dyDescent="0.35">
      <c r="A6" s="5" t="s">
        <v>0</v>
      </c>
      <c r="B6" s="5" t="s">
        <v>1</v>
      </c>
      <c r="C6" s="5" t="s">
        <v>2</v>
      </c>
      <c r="D6" s="5" t="s">
        <v>3</v>
      </c>
      <c r="E6" s="5" t="s">
        <v>4</v>
      </c>
      <c r="F6" s="5" t="s">
        <v>5</v>
      </c>
      <c r="G6" s="5" t="s">
        <v>6</v>
      </c>
      <c r="H6" s="5" t="s">
        <v>7</v>
      </c>
      <c r="I6" s="5" t="s">
        <v>8</v>
      </c>
      <c r="J6" s="5" t="s">
        <v>9</v>
      </c>
      <c r="K6" s="5" t="s">
        <v>10</v>
      </c>
      <c r="L6" s="5" t="s">
        <v>11</v>
      </c>
      <c r="M6" s="5" t="s">
        <v>12</v>
      </c>
      <c r="N6" s="5" t="s">
        <v>13</v>
      </c>
      <c r="O6" s="5" t="s">
        <v>44</v>
      </c>
      <c r="P6" s="5" t="s">
        <v>14</v>
      </c>
      <c r="Q6" s="5" t="s">
        <v>57</v>
      </c>
      <c r="R6" s="5" t="s">
        <v>58</v>
      </c>
    </row>
    <row r="7" spans="1:22" x14ac:dyDescent="0.35">
      <c r="A7" t="s">
        <v>31</v>
      </c>
      <c r="B7">
        <v>2022</v>
      </c>
      <c r="C7" t="s">
        <v>35</v>
      </c>
      <c r="D7">
        <v>154.1</v>
      </c>
      <c r="E7">
        <v>217</v>
      </c>
      <c r="F7">
        <v>162.4</v>
      </c>
      <c r="G7">
        <v>164.9</v>
      </c>
      <c r="H7">
        <v>202.4</v>
      </c>
      <c r="I7">
        <v>171</v>
      </c>
      <c r="J7">
        <v>174.9</v>
      </c>
      <c r="K7">
        <v>164.7</v>
      </c>
      <c r="L7">
        <v>119.7</v>
      </c>
      <c r="M7">
        <v>184.9</v>
      </c>
      <c r="N7">
        <v>167.1</v>
      </c>
      <c r="O7">
        <v>182.5</v>
      </c>
      <c r="P7">
        <v>173.3</v>
      </c>
      <c r="Q7">
        <f>AVERAGE(D7:P7)</f>
        <v>172.22307692307697</v>
      </c>
    </row>
    <row r="8" spans="1:22" x14ac:dyDescent="0.35">
      <c r="A8" t="s">
        <v>31</v>
      </c>
      <c r="B8">
        <v>2022</v>
      </c>
      <c r="C8" t="s">
        <v>36</v>
      </c>
      <c r="D8">
        <v>155</v>
      </c>
      <c r="E8">
        <v>219.4</v>
      </c>
      <c r="F8">
        <v>170.8</v>
      </c>
      <c r="G8">
        <v>165.8</v>
      </c>
      <c r="H8">
        <v>200.9</v>
      </c>
      <c r="I8">
        <v>169.7</v>
      </c>
      <c r="J8">
        <v>182.3</v>
      </c>
      <c r="K8">
        <v>164.3</v>
      </c>
      <c r="L8">
        <v>119.9</v>
      </c>
      <c r="M8">
        <v>187.1</v>
      </c>
      <c r="N8">
        <v>167.9</v>
      </c>
      <c r="O8">
        <v>183.9</v>
      </c>
      <c r="P8">
        <v>174.9</v>
      </c>
      <c r="Q8">
        <f t="shared" ref="Q8:Q19" si="0">AVERAGE(D8:P8)</f>
        <v>173.99230769230769</v>
      </c>
      <c r="R8" s="9">
        <f>(Q8-Q7)/Q7*100</f>
        <v>1.0272901871454425</v>
      </c>
    </row>
    <row r="9" spans="1:22" x14ac:dyDescent="0.35">
      <c r="A9" t="s">
        <v>31</v>
      </c>
      <c r="B9">
        <v>2022</v>
      </c>
      <c r="C9" t="s">
        <v>37</v>
      </c>
      <c r="D9">
        <v>156.5</v>
      </c>
      <c r="E9">
        <v>213</v>
      </c>
      <c r="F9">
        <v>175.2</v>
      </c>
      <c r="G9">
        <v>166.6</v>
      </c>
      <c r="H9">
        <v>195.8</v>
      </c>
      <c r="I9">
        <v>174.2</v>
      </c>
      <c r="J9">
        <v>182.1</v>
      </c>
      <c r="K9">
        <v>164.3</v>
      </c>
      <c r="L9">
        <v>120</v>
      </c>
      <c r="M9">
        <v>190</v>
      </c>
      <c r="N9">
        <v>168.4</v>
      </c>
      <c r="O9">
        <v>185.2</v>
      </c>
      <c r="P9">
        <v>175</v>
      </c>
      <c r="Q9">
        <f t="shared" si="0"/>
        <v>174.33076923076925</v>
      </c>
      <c r="R9" s="3">
        <f t="shared" ref="R9:R19" si="1">(Q9-Q8)/Q8*100</f>
        <v>0.19452672531943327</v>
      </c>
    </row>
    <row r="10" spans="1:22" x14ac:dyDescent="0.35">
      <c r="A10" t="s">
        <v>31</v>
      </c>
      <c r="B10">
        <v>2022</v>
      </c>
      <c r="C10" t="s">
        <v>38</v>
      </c>
      <c r="D10">
        <v>160.30000000000001</v>
      </c>
      <c r="E10">
        <v>206.5</v>
      </c>
      <c r="F10">
        <v>169.2</v>
      </c>
      <c r="G10">
        <v>168.1</v>
      </c>
      <c r="H10">
        <v>192.4</v>
      </c>
      <c r="I10">
        <v>172.9</v>
      </c>
      <c r="J10">
        <v>186.7</v>
      </c>
      <c r="K10">
        <v>167.2</v>
      </c>
      <c r="L10">
        <v>120.9</v>
      </c>
      <c r="M10">
        <v>193.6</v>
      </c>
      <c r="N10">
        <v>168.8</v>
      </c>
      <c r="O10">
        <v>186.3</v>
      </c>
      <c r="P10">
        <v>176.3</v>
      </c>
      <c r="Q10">
        <f t="shared" si="0"/>
        <v>174.55384615384617</v>
      </c>
      <c r="R10" s="3">
        <f t="shared" si="1"/>
        <v>0.12796187618585006</v>
      </c>
    </row>
    <row r="11" spans="1:22" x14ac:dyDescent="0.35">
      <c r="A11" t="s">
        <v>31</v>
      </c>
      <c r="B11">
        <v>2022</v>
      </c>
      <c r="C11" t="s">
        <v>39</v>
      </c>
      <c r="D11">
        <v>163.5</v>
      </c>
      <c r="E11">
        <v>209.2</v>
      </c>
      <c r="F11">
        <v>169.7</v>
      </c>
      <c r="G11">
        <v>169.7</v>
      </c>
      <c r="H11">
        <v>188.7</v>
      </c>
      <c r="I11">
        <v>165.7</v>
      </c>
      <c r="J11">
        <v>191.8</v>
      </c>
      <c r="K11">
        <v>169.1</v>
      </c>
      <c r="L11">
        <v>121.6</v>
      </c>
      <c r="M11">
        <v>197.3</v>
      </c>
      <c r="N11">
        <v>169.4</v>
      </c>
      <c r="O11">
        <v>187.4</v>
      </c>
      <c r="P11">
        <v>177.8</v>
      </c>
      <c r="Q11">
        <f t="shared" si="0"/>
        <v>175.45384615384617</v>
      </c>
      <c r="R11" s="3">
        <f t="shared" si="1"/>
        <v>0.51560021152829516</v>
      </c>
    </row>
    <row r="12" spans="1:22" x14ac:dyDescent="0.35">
      <c r="A12" t="s">
        <v>31</v>
      </c>
      <c r="B12">
        <v>2022</v>
      </c>
      <c r="C12" t="s">
        <v>40</v>
      </c>
      <c r="D12">
        <v>165.2</v>
      </c>
      <c r="E12">
        <v>210.9</v>
      </c>
      <c r="F12">
        <v>170.9</v>
      </c>
      <c r="G12">
        <v>170.9</v>
      </c>
      <c r="H12">
        <v>186.5</v>
      </c>
      <c r="I12">
        <v>163.80000000000001</v>
      </c>
      <c r="J12">
        <v>199.7</v>
      </c>
      <c r="K12">
        <v>169.8</v>
      </c>
      <c r="L12">
        <v>121.9</v>
      </c>
      <c r="M12">
        <v>199.9</v>
      </c>
      <c r="N12">
        <v>169.9</v>
      </c>
      <c r="O12">
        <v>188.3</v>
      </c>
      <c r="P12">
        <v>179.6</v>
      </c>
      <c r="Q12">
        <f t="shared" si="0"/>
        <v>176.71538461538464</v>
      </c>
      <c r="R12" s="3">
        <f t="shared" si="1"/>
        <v>0.71901442413082706</v>
      </c>
    </row>
    <row r="13" spans="1:22" x14ac:dyDescent="0.35">
      <c r="A13" t="s">
        <v>31</v>
      </c>
      <c r="B13">
        <v>2022</v>
      </c>
      <c r="C13" t="s">
        <v>42</v>
      </c>
      <c r="D13">
        <v>167.4</v>
      </c>
      <c r="E13">
        <v>209.4</v>
      </c>
      <c r="F13">
        <v>181.4</v>
      </c>
      <c r="G13">
        <v>172.3</v>
      </c>
      <c r="H13">
        <v>188.9</v>
      </c>
      <c r="I13">
        <v>160.69999999999999</v>
      </c>
      <c r="J13">
        <v>183.1</v>
      </c>
      <c r="K13">
        <v>170.5</v>
      </c>
      <c r="L13">
        <v>122.1</v>
      </c>
      <c r="M13">
        <v>202.8</v>
      </c>
      <c r="N13">
        <v>170.4</v>
      </c>
      <c r="O13">
        <v>189.5</v>
      </c>
      <c r="P13">
        <v>178.3</v>
      </c>
      <c r="Q13">
        <f t="shared" si="0"/>
        <v>176.67692307692309</v>
      </c>
      <c r="R13" s="3">
        <f t="shared" si="1"/>
        <v>-2.1764680276851682E-2</v>
      </c>
    </row>
    <row r="14" spans="1:22" x14ac:dyDescent="0.35">
      <c r="A14" t="s">
        <v>31</v>
      </c>
      <c r="B14">
        <v>2022</v>
      </c>
      <c r="C14" t="s">
        <v>43</v>
      </c>
      <c r="D14">
        <v>169.2</v>
      </c>
      <c r="E14">
        <v>209</v>
      </c>
      <c r="F14">
        <v>190.2</v>
      </c>
      <c r="G14">
        <v>173.6</v>
      </c>
      <c r="H14">
        <v>188.5</v>
      </c>
      <c r="I14">
        <v>158</v>
      </c>
      <c r="J14">
        <v>159.9</v>
      </c>
      <c r="K14">
        <v>170.8</v>
      </c>
      <c r="L14">
        <v>121.8</v>
      </c>
      <c r="M14">
        <v>205.2</v>
      </c>
      <c r="N14">
        <v>171</v>
      </c>
      <c r="O14">
        <v>190.3</v>
      </c>
      <c r="P14">
        <v>175.9</v>
      </c>
      <c r="Q14">
        <f t="shared" si="0"/>
        <v>175.64615384615385</v>
      </c>
      <c r="R14" s="3">
        <f t="shared" si="1"/>
        <v>-0.58342041100662179</v>
      </c>
    </row>
    <row r="15" spans="1:22" x14ac:dyDescent="0.35">
      <c r="A15" t="s">
        <v>31</v>
      </c>
      <c r="B15">
        <v>2023</v>
      </c>
      <c r="C15" t="s">
        <v>29</v>
      </c>
      <c r="D15">
        <v>173.8</v>
      </c>
      <c r="E15">
        <v>210.7</v>
      </c>
      <c r="F15">
        <v>194.5</v>
      </c>
      <c r="G15">
        <v>174.6</v>
      </c>
      <c r="H15">
        <v>187.2</v>
      </c>
      <c r="I15">
        <v>158.30000000000001</v>
      </c>
      <c r="J15">
        <v>153.9</v>
      </c>
      <c r="K15">
        <v>170.9</v>
      </c>
      <c r="L15">
        <v>121.1</v>
      </c>
      <c r="M15">
        <v>208.4</v>
      </c>
      <c r="N15">
        <v>171.4</v>
      </c>
      <c r="O15">
        <v>191.2</v>
      </c>
      <c r="P15">
        <v>176.7</v>
      </c>
      <c r="Q15">
        <f t="shared" si="0"/>
        <v>176.36153846153846</v>
      </c>
      <c r="R15" s="3">
        <f t="shared" si="1"/>
        <v>0.40728737847069707</v>
      </c>
    </row>
    <row r="16" spans="1:22" x14ac:dyDescent="0.35">
      <c r="A16" t="s">
        <v>31</v>
      </c>
      <c r="B16">
        <v>2023</v>
      </c>
      <c r="C16" t="s">
        <v>32</v>
      </c>
      <c r="D16">
        <v>174.4</v>
      </c>
      <c r="E16">
        <v>207.7</v>
      </c>
      <c r="F16">
        <v>175.2</v>
      </c>
      <c r="G16">
        <v>177.3</v>
      </c>
      <c r="H16">
        <v>179.3</v>
      </c>
      <c r="I16">
        <v>169.5</v>
      </c>
      <c r="J16">
        <v>152.69999999999999</v>
      </c>
      <c r="K16">
        <v>171</v>
      </c>
      <c r="L16">
        <v>120</v>
      </c>
      <c r="M16">
        <v>209.7</v>
      </c>
      <c r="N16">
        <v>172.3</v>
      </c>
      <c r="O16">
        <v>193</v>
      </c>
      <c r="P16">
        <v>177</v>
      </c>
      <c r="Q16">
        <f t="shared" si="0"/>
        <v>175.3153846153846</v>
      </c>
      <c r="R16" s="32">
        <f t="shared" si="1"/>
        <v>-0.59318707201117182</v>
      </c>
    </row>
    <row r="17" spans="1:18" x14ac:dyDescent="0.35">
      <c r="A17" t="s">
        <v>31</v>
      </c>
      <c r="B17">
        <v>2023</v>
      </c>
      <c r="C17" t="s">
        <v>33</v>
      </c>
      <c r="D17">
        <v>174.4</v>
      </c>
      <c r="E17">
        <v>207.7</v>
      </c>
      <c r="F17">
        <v>175.2</v>
      </c>
      <c r="G17">
        <v>177.3</v>
      </c>
      <c r="H17">
        <v>179.2</v>
      </c>
      <c r="I17">
        <v>169.5</v>
      </c>
      <c r="J17">
        <v>152.80000000000001</v>
      </c>
      <c r="K17">
        <v>171.1</v>
      </c>
      <c r="L17">
        <v>120</v>
      </c>
      <c r="M17">
        <v>209.7</v>
      </c>
      <c r="N17">
        <v>172.3</v>
      </c>
      <c r="O17">
        <v>193</v>
      </c>
      <c r="P17">
        <v>177</v>
      </c>
      <c r="Q17">
        <f t="shared" si="0"/>
        <v>175.32307692307691</v>
      </c>
      <c r="R17" s="3">
        <f t="shared" si="1"/>
        <v>4.3876968978992913E-3</v>
      </c>
    </row>
    <row r="18" spans="1:18" x14ac:dyDescent="0.35">
      <c r="A18" t="s">
        <v>31</v>
      </c>
      <c r="B18">
        <v>2023</v>
      </c>
      <c r="C18" t="s">
        <v>34</v>
      </c>
      <c r="D18">
        <v>173.8</v>
      </c>
      <c r="E18">
        <v>209.3</v>
      </c>
      <c r="F18">
        <v>169.6</v>
      </c>
      <c r="G18">
        <v>178.4</v>
      </c>
      <c r="H18">
        <v>174.9</v>
      </c>
      <c r="I18">
        <v>176.3</v>
      </c>
      <c r="J18">
        <v>155.4</v>
      </c>
      <c r="K18">
        <v>173.4</v>
      </c>
      <c r="L18">
        <v>121.3</v>
      </c>
      <c r="M18">
        <v>212.9</v>
      </c>
      <c r="N18">
        <v>172.9</v>
      </c>
      <c r="O18">
        <v>193.5</v>
      </c>
      <c r="P18">
        <v>177.9</v>
      </c>
      <c r="Q18">
        <f t="shared" si="0"/>
        <v>176.12307692307695</v>
      </c>
      <c r="R18" s="3">
        <f t="shared" si="1"/>
        <v>0.456300456300479</v>
      </c>
    </row>
    <row r="19" spans="1:18" x14ac:dyDescent="0.35">
      <c r="A19" t="s">
        <v>31</v>
      </c>
      <c r="B19">
        <v>2023</v>
      </c>
      <c r="C19" t="s">
        <v>35</v>
      </c>
      <c r="D19">
        <v>173.7</v>
      </c>
      <c r="E19">
        <v>214.3</v>
      </c>
      <c r="F19">
        <v>173.2</v>
      </c>
      <c r="G19">
        <v>179.5</v>
      </c>
      <c r="H19">
        <v>170</v>
      </c>
      <c r="I19">
        <v>172.2</v>
      </c>
      <c r="J19">
        <v>161</v>
      </c>
      <c r="K19">
        <v>175.6</v>
      </c>
      <c r="L19">
        <v>122.7</v>
      </c>
      <c r="M19">
        <v>218</v>
      </c>
      <c r="N19">
        <v>173.4</v>
      </c>
      <c r="O19">
        <v>194.2</v>
      </c>
      <c r="P19">
        <v>179.1</v>
      </c>
      <c r="Q19">
        <f t="shared" si="0"/>
        <v>177.45384615384617</v>
      </c>
      <c r="R19" s="3">
        <f t="shared" si="1"/>
        <v>0.75559049615652807</v>
      </c>
    </row>
    <row r="24" spans="1:18" x14ac:dyDescent="0.35">
      <c r="B24" s="42" t="s">
        <v>131</v>
      </c>
      <c r="C24" s="42"/>
      <c r="D24" s="42"/>
      <c r="E24" s="42"/>
      <c r="F24" s="42"/>
      <c r="G24" s="42"/>
    </row>
    <row r="26" spans="1:18" x14ac:dyDescent="0.35">
      <c r="B26" s="43" t="s">
        <v>132</v>
      </c>
      <c r="C26" s="43"/>
      <c r="D26" s="43"/>
      <c r="E26" s="43"/>
      <c r="F26" s="43"/>
      <c r="G26" s="43"/>
    </row>
    <row r="38" spans="1:7" x14ac:dyDescent="0.35">
      <c r="A38" s="14" t="s">
        <v>59</v>
      </c>
      <c r="B38" s="31">
        <v>44713</v>
      </c>
      <c r="C38" s="14" t="s">
        <v>133</v>
      </c>
      <c r="D38" s="14" t="s">
        <v>61</v>
      </c>
    </row>
    <row r="39" spans="1:7" x14ac:dyDescent="0.35">
      <c r="A39" t="s">
        <v>3</v>
      </c>
      <c r="B39">
        <v>155</v>
      </c>
      <c r="C39">
        <v>173.7</v>
      </c>
      <c r="D39" s="3">
        <f>(C39-B39)/B39*100</f>
        <v>12.064516129032251</v>
      </c>
      <c r="F39" s="44" t="s">
        <v>134</v>
      </c>
      <c r="G39" s="44"/>
    </row>
    <row r="40" spans="1:7" x14ac:dyDescent="0.35">
      <c r="A40" t="s">
        <v>4</v>
      </c>
      <c r="B40">
        <v>219.4</v>
      </c>
      <c r="C40">
        <v>214.3</v>
      </c>
      <c r="D40" s="3">
        <f t="shared" ref="D40:D50" si="2">(C40-B40)/B40*100</f>
        <v>-2.3245214220601613</v>
      </c>
      <c r="F40" s="44"/>
      <c r="G40" s="44"/>
    </row>
    <row r="41" spans="1:7" x14ac:dyDescent="0.35">
      <c r="A41" t="s">
        <v>5</v>
      </c>
      <c r="B41">
        <v>170.8</v>
      </c>
      <c r="C41">
        <v>173.2</v>
      </c>
      <c r="D41" s="3">
        <f t="shared" si="2"/>
        <v>1.4051522248243427</v>
      </c>
      <c r="F41" s="44"/>
      <c r="G41" s="44"/>
    </row>
    <row r="42" spans="1:7" x14ac:dyDescent="0.35">
      <c r="A42" t="s">
        <v>6</v>
      </c>
      <c r="B42">
        <v>165.8</v>
      </c>
      <c r="C42">
        <v>179.5</v>
      </c>
      <c r="D42" s="3">
        <f t="shared" si="2"/>
        <v>8.2629674306393177</v>
      </c>
      <c r="F42" s="44"/>
      <c r="G42" s="44"/>
    </row>
    <row r="43" spans="1:7" x14ac:dyDescent="0.35">
      <c r="A43" t="s">
        <v>60</v>
      </c>
      <c r="B43">
        <v>200.9</v>
      </c>
      <c r="C43">
        <v>170</v>
      </c>
      <c r="D43" s="3">
        <f t="shared" si="2"/>
        <v>-15.380786460925835</v>
      </c>
    </row>
    <row r="44" spans="1:7" x14ac:dyDescent="0.35">
      <c r="A44" t="s">
        <v>8</v>
      </c>
      <c r="B44">
        <v>169.7</v>
      </c>
      <c r="C44">
        <v>172.2</v>
      </c>
      <c r="D44" s="3">
        <f t="shared" si="2"/>
        <v>1.4731879787860933</v>
      </c>
    </row>
    <row r="45" spans="1:7" x14ac:dyDescent="0.35">
      <c r="A45" t="s">
        <v>9</v>
      </c>
      <c r="B45">
        <v>182.3</v>
      </c>
      <c r="C45">
        <v>161</v>
      </c>
      <c r="D45" s="3">
        <f t="shared" si="2"/>
        <v>-11.684037301151953</v>
      </c>
    </row>
    <row r="46" spans="1:7" x14ac:dyDescent="0.35">
      <c r="A46" t="s">
        <v>10</v>
      </c>
      <c r="B46">
        <v>164.3</v>
      </c>
      <c r="C46">
        <v>175.6</v>
      </c>
      <c r="D46" s="3">
        <f t="shared" si="2"/>
        <v>6.8776628119293877</v>
      </c>
    </row>
    <row r="47" spans="1:7" x14ac:dyDescent="0.35">
      <c r="A47" t="s">
        <v>11</v>
      </c>
      <c r="B47">
        <v>119.9</v>
      </c>
      <c r="C47">
        <v>122.7</v>
      </c>
      <c r="D47" s="3">
        <f t="shared" si="2"/>
        <v>2.3352793994995804</v>
      </c>
    </row>
    <row r="48" spans="1:7" x14ac:dyDescent="0.35">
      <c r="A48" t="s">
        <v>12</v>
      </c>
      <c r="B48">
        <v>187.1</v>
      </c>
      <c r="C48">
        <v>218</v>
      </c>
      <c r="D48" s="32">
        <f t="shared" si="2"/>
        <v>16.515232495991452</v>
      </c>
    </row>
    <row r="49" spans="1:4" x14ac:dyDescent="0.35">
      <c r="A49" t="s">
        <v>13</v>
      </c>
      <c r="B49">
        <v>167.9</v>
      </c>
      <c r="C49">
        <v>173.4</v>
      </c>
      <c r="D49" s="3">
        <f t="shared" si="2"/>
        <v>3.2757593805836809</v>
      </c>
    </row>
    <row r="50" spans="1:4" x14ac:dyDescent="0.35">
      <c r="A50" t="s">
        <v>44</v>
      </c>
      <c r="B50">
        <v>183.9</v>
      </c>
      <c r="C50">
        <v>194.2</v>
      </c>
      <c r="D50" s="3">
        <f t="shared" si="2"/>
        <v>5.6008700380641558</v>
      </c>
    </row>
  </sheetData>
  <mergeCells count="3">
    <mergeCell ref="B24:G24"/>
    <mergeCell ref="B26:G26"/>
    <mergeCell ref="F39:G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3023-5FB0-4019-9BAC-E088C63445C6}">
  <dimension ref="A1:AF43"/>
  <sheetViews>
    <sheetView topLeftCell="A10" zoomScale="86" zoomScaleNormal="86" workbookViewId="0">
      <selection activeCell="J11" sqref="J11"/>
    </sheetView>
  </sheetViews>
  <sheetFormatPr defaultRowHeight="14.5" x14ac:dyDescent="0.35"/>
  <cols>
    <col min="9" max="9" width="26.36328125" bestFit="1" customWidth="1"/>
    <col min="11" max="11" width="33.08984375" bestFit="1" customWidth="1"/>
    <col min="12" max="12" width="20.36328125" bestFit="1" customWidth="1"/>
    <col min="13" max="13" width="21.453125" bestFit="1" customWidth="1"/>
    <col min="14" max="14" width="11.08984375" bestFit="1" customWidth="1"/>
    <col min="15" max="15" width="17.453125" bestFit="1" customWidth="1"/>
    <col min="16" max="16" width="8.90625" bestFit="1" customWidth="1"/>
  </cols>
  <sheetData>
    <row r="1" spans="1:32" s="13" customFormat="1" ht="18.5" x14ac:dyDescent="0.45">
      <c r="A1" s="33" t="s">
        <v>113</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row>
    <row r="2" spans="1:32" s="13" customFormat="1" ht="18.5" x14ac:dyDescent="0.45">
      <c r="A2" s="33" t="s">
        <v>114</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row>
    <row r="4" spans="1:32" ht="15.5" x14ac:dyDescent="0.35">
      <c r="A4" s="36" t="s">
        <v>0</v>
      </c>
      <c r="B4" s="36" t="s">
        <v>1</v>
      </c>
      <c r="C4" s="36" t="s">
        <v>2</v>
      </c>
      <c r="D4" s="36" t="s">
        <v>93</v>
      </c>
      <c r="E4" s="36" t="s">
        <v>14</v>
      </c>
      <c r="F4" s="36" t="s">
        <v>20</v>
      </c>
      <c r="G4" s="36" t="s">
        <v>21</v>
      </c>
      <c r="H4" s="36" t="s">
        <v>22</v>
      </c>
      <c r="I4" s="36" t="s">
        <v>23</v>
      </c>
      <c r="K4" s="35" t="s">
        <v>94</v>
      </c>
      <c r="L4" s="35" t="s">
        <v>95</v>
      </c>
      <c r="M4" s="35" t="s">
        <v>96</v>
      </c>
      <c r="N4" s="35" t="s">
        <v>97</v>
      </c>
    </row>
    <row r="5" spans="1:32" ht="15.5" x14ac:dyDescent="0.35">
      <c r="A5" t="s">
        <v>31</v>
      </c>
      <c r="B5">
        <v>2019</v>
      </c>
      <c r="C5" t="s">
        <v>33</v>
      </c>
      <c r="D5" t="str">
        <f t="shared" ref="D5:D28" si="0">_xlfn.CONCAT(B5,"-",C5)</f>
        <v>2019-March</v>
      </c>
      <c r="E5">
        <v>138.1</v>
      </c>
      <c r="F5">
        <v>139.69999999999999</v>
      </c>
      <c r="G5">
        <v>143.80000000000001</v>
      </c>
      <c r="H5">
        <v>146.19999999999999</v>
      </c>
      <c r="I5">
        <v>124.6</v>
      </c>
      <c r="K5" s="37" t="s">
        <v>98</v>
      </c>
      <c r="L5" s="38">
        <f>AVERAGE($E$5:$E$15)</f>
        <v>147.25454545454545</v>
      </c>
      <c r="M5" s="38">
        <f>AVERAGE($E$17:$E$28)</f>
        <v>157.65833333333336</v>
      </c>
      <c r="N5" s="22">
        <f>(M5-L5)/L5*100</f>
        <v>7.0651726550603176</v>
      </c>
    </row>
    <row r="6" spans="1:32" ht="15.5" x14ac:dyDescent="0.35">
      <c r="A6" t="s">
        <v>31</v>
      </c>
      <c r="B6">
        <v>2019</v>
      </c>
      <c r="C6" t="s">
        <v>35</v>
      </c>
      <c r="D6" t="str">
        <f t="shared" si="0"/>
        <v>2019-May</v>
      </c>
      <c r="E6">
        <v>140.9</v>
      </c>
      <c r="F6">
        <v>140.30000000000001</v>
      </c>
      <c r="G6">
        <v>143.69999999999999</v>
      </c>
      <c r="H6">
        <v>146.9</v>
      </c>
      <c r="I6">
        <v>124.9</v>
      </c>
      <c r="K6" s="37" t="s">
        <v>20</v>
      </c>
      <c r="L6" s="38">
        <f>AVERAGE($F$5:$F$15)</f>
        <v>141.50909090909093</v>
      </c>
      <c r="M6" s="38">
        <f>AVERAGE($F$17:$F$28)</f>
        <v>145.41666666666666</v>
      </c>
      <c r="N6" s="22">
        <f t="shared" ref="N6:N9" si="1">(M6-L6)/L6*100</f>
        <v>2.7613602295601312</v>
      </c>
    </row>
    <row r="7" spans="1:32" ht="15.5" x14ac:dyDescent="0.35">
      <c r="A7" t="s">
        <v>31</v>
      </c>
      <c r="B7">
        <v>2019</v>
      </c>
      <c r="C7" t="s">
        <v>36</v>
      </c>
      <c r="D7" t="str">
        <f t="shared" si="0"/>
        <v>2019-June</v>
      </c>
      <c r="E7">
        <v>142.69999999999999</v>
      </c>
      <c r="F7">
        <v>141.19999999999999</v>
      </c>
      <c r="G7">
        <v>143.80000000000001</v>
      </c>
      <c r="H7">
        <v>147.4</v>
      </c>
      <c r="I7">
        <v>124.6</v>
      </c>
      <c r="K7" s="37" t="s">
        <v>21</v>
      </c>
      <c r="L7" s="38">
        <f>AVERAGE($G$5:$G$15)</f>
        <v>144.84545454545457</v>
      </c>
      <c r="M7" s="38">
        <f>AVERAGE($G$17:$G$28)</f>
        <v>148.5229166666667</v>
      </c>
      <c r="N7" s="22">
        <f t="shared" si="1"/>
        <v>2.5388867967949178</v>
      </c>
    </row>
    <row r="8" spans="1:32" ht="15.5" x14ac:dyDescent="0.35">
      <c r="A8" t="s">
        <v>31</v>
      </c>
      <c r="B8">
        <v>2019</v>
      </c>
      <c r="C8" t="s">
        <v>37</v>
      </c>
      <c r="D8" t="str">
        <f t="shared" si="0"/>
        <v>2019-July</v>
      </c>
      <c r="E8">
        <v>144.69999999999999</v>
      </c>
      <c r="F8">
        <v>139.30000000000001</v>
      </c>
      <c r="G8">
        <v>144.19999999999999</v>
      </c>
      <c r="H8">
        <v>147.9</v>
      </c>
      <c r="I8">
        <v>125.6</v>
      </c>
      <c r="K8" s="37" t="s">
        <v>22</v>
      </c>
      <c r="L8" s="38">
        <f>AVERAGE($H$5:$H$15)</f>
        <v>148.95454545454547</v>
      </c>
      <c r="M8" s="38">
        <f>AVERAGE($H$17:$H$28)</f>
        <v>156.24166666666665</v>
      </c>
      <c r="N8" s="22">
        <f t="shared" si="1"/>
        <v>4.8921778049028353</v>
      </c>
    </row>
    <row r="9" spans="1:32" ht="15.5" x14ac:dyDescent="0.35">
      <c r="A9" t="s">
        <v>31</v>
      </c>
      <c r="B9">
        <v>2019</v>
      </c>
      <c r="C9" t="s">
        <v>38</v>
      </c>
      <c r="D9" t="str">
        <f t="shared" si="0"/>
        <v>2019-August</v>
      </c>
      <c r="E9">
        <v>145.9</v>
      </c>
      <c r="F9">
        <v>138.5</v>
      </c>
      <c r="G9">
        <v>144.5</v>
      </c>
      <c r="H9">
        <v>148.5</v>
      </c>
      <c r="I9">
        <v>125.8</v>
      </c>
      <c r="K9" s="37" t="s">
        <v>23</v>
      </c>
      <c r="L9" s="38">
        <f>AVERAGE($I$5:$I$15)</f>
        <v>126.86363636363636</v>
      </c>
      <c r="M9" s="38">
        <f>AVERAGE($I$17:$I$28)</f>
        <v>138.58750000000001</v>
      </c>
      <c r="N9" s="22">
        <f t="shared" si="1"/>
        <v>9.2413113579362314</v>
      </c>
    </row>
    <row r="10" spans="1:32" x14ac:dyDescent="0.35">
      <c r="A10" t="s">
        <v>31</v>
      </c>
      <c r="B10">
        <v>2019</v>
      </c>
      <c r="C10" t="s">
        <v>39</v>
      </c>
      <c r="D10" t="str">
        <f t="shared" si="0"/>
        <v>2019-September</v>
      </c>
      <c r="E10">
        <v>147</v>
      </c>
      <c r="F10">
        <v>139.19999999999999</v>
      </c>
      <c r="G10">
        <v>144.6</v>
      </c>
      <c r="H10">
        <v>149</v>
      </c>
      <c r="I10">
        <v>126.1</v>
      </c>
    </row>
    <row r="11" spans="1:32" x14ac:dyDescent="0.35">
      <c r="A11" t="s">
        <v>31</v>
      </c>
      <c r="B11">
        <v>2019</v>
      </c>
      <c r="C11" t="s">
        <v>40</v>
      </c>
      <c r="D11" t="str">
        <f t="shared" si="0"/>
        <v>2019-October</v>
      </c>
      <c r="E11">
        <v>149.6</v>
      </c>
      <c r="F11">
        <v>140.6</v>
      </c>
      <c r="G11">
        <v>145</v>
      </c>
      <c r="H11">
        <v>149.4</v>
      </c>
      <c r="I11">
        <v>126.3</v>
      </c>
    </row>
    <row r="12" spans="1:32" x14ac:dyDescent="0.35">
      <c r="A12" t="s">
        <v>31</v>
      </c>
      <c r="B12">
        <v>2019</v>
      </c>
      <c r="C12" t="s">
        <v>42</v>
      </c>
      <c r="D12" t="str">
        <f t="shared" si="0"/>
        <v>2019-November</v>
      </c>
      <c r="E12">
        <v>151.9</v>
      </c>
      <c r="F12">
        <v>142.30000000000001</v>
      </c>
      <c r="G12">
        <v>145.30000000000001</v>
      </c>
      <c r="H12">
        <v>149.9</v>
      </c>
      <c r="I12">
        <v>126.6</v>
      </c>
    </row>
    <row r="13" spans="1:32" x14ac:dyDescent="0.35">
      <c r="A13" t="s">
        <v>31</v>
      </c>
      <c r="B13">
        <v>2019</v>
      </c>
      <c r="C13" t="s">
        <v>43</v>
      </c>
      <c r="D13" t="str">
        <f t="shared" si="0"/>
        <v>2019-December</v>
      </c>
      <c r="E13">
        <v>155</v>
      </c>
      <c r="F13">
        <v>143.69999999999999</v>
      </c>
      <c r="G13">
        <v>145.80000000000001</v>
      </c>
      <c r="H13">
        <v>150.4</v>
      </c>
      <c r="I13">
        <v>129.80000000000001</v>
      </c>
    </row>
    <row r="14" spans="1:32" x14ac:dyDescent="0.35">
      <c r="A14" t="s">
        <v>31</v>
      </c>
      <c r="B14">
        <v>2020</v>
      </c>
      <c r="C14" t="s">
        <v>29</v>
      </c>
      <c r="D14" t="str">
        <f t="shared" si="0"/>
        <v>2020-January</v>
      </c>
      <c r="E14">
        <v>153.5</v>
      </c>
      <c r="F14">
        <v>144.6</v>
      </c>
      <c r="G14">
        <v>146.19999999999999</v>
      </c>
      <c r="H14">
        <v>151.19999999999999</v>
      </c>
      <c r="I14">
        <v>130.9</v>
      </c>
    </row>
    <row r="15" spans="1:32" x14ac:dyDescent="0.35">
      <c r="A15" t="s">
        <v>31</v>
      </c>
      <c r="B15">
        <v>2020</v>
      </c>
      <c r="C15" t="s">
        <v>32</v>
      </c>
      <c r="D15" t="str">
        <f t="shared" si="0"/>
        <v>2020-February</v>
      </c>
      <c r="E15">
        <v>150.5</v>
      </c>
      <c r="F15">
        <v>147.19999999999999</v>
      </c>
      <c r="G15">
        <v>146.4</v>
      </c>
      <c r="H15">
        <v>151.69999999999999</v>
      </c>
      <c r="I15">
        <v>130.30000000000001</v>
      </c>
    </row>
    <row r="16" spans="1:32" x14ac:dyDescent="0.35">
      <c r="A16" s="7" t="s">
        <v>31</v>
      </c>
      <c r="B16" s="7">
        <v>2020</v>
      </c>
      <c r="C16" s="7" t="s">
        <v>33</v>
      </c>
      <c r="D16" s="7" t="str">
        <f t="shared" si="0"/>
        <v>2020-March</v>
      </c>
      <c r="E16" s="7">
        <v>148.9</v>
      </c>
      <c r="F16" s="7">
        <v>148.9</v>
      </c>
      <c r="G16" s="7">
        <v>146.4</v>
      </c>
      <c r="H16" s="7">
        <v>152.30000000000001</v>
      </c>
      <c r="I16" s="7">
        <v>129.9</v>
      </c>
    </row>
    <row r="17" spans="1:9" x14ac:dyDescent="0.35">
      <c r="A17" t="s">
        <v>31</v>
      </c>
      <c r="B17">
        <v>2020</v>
      </c>
      <c r="C17" t="s">
        <v>34</v>
      </c>
      <c r="D17" t="str">
        <f t="shared" si="0"/>
        <v>2020-April</v>
      </c>
      <c r="E17">
        <v>151.4</v>
      </c>
      <c r="F17">
        <v>144.1</v>
      </c>
      <c r="G17">
        <v>146.27500000000001</v>
      </c>
      <c r="H17">
        <v>150.69999999999999</v>
      </c>
      <c r="I17">
        <v>130.15</v>
      </c>
    </row>
    <row r="18" spans="1:9" x14ac:dyDescent="0.35">
      <c r="A18" t="s">
        <v>31</v>
      </c>
      <c r="B18">
        <v>2020</v>
      </c>
      <c r="C18" t="s">
        <v>35</v>
      </c>
      <c r="D18" t="str">
        <f t="shared" si="0"/>
        <v>2020-May</v>
      </c>
      <c r="E18">
        <v>151.4</v>
      </c>
      <c r="F18">
        <v>144.1</v>
      </c>
      <c r="G18">
        <v>146.4</v>
      </c>
      <c r="H18">
        <v>150.69999999999999</v>
      </c>
      <c r="I18">
        <v>129.9</v>
      </c>
    </row>
    <row r="19" spans="1:9" x14ac:dyDescent="0.35">
      <c r="A19" t="s">
        <v>31</v>
      </c>
      <c r="B19">
        <v>2020</v>
      </c>
      <c r="C19" t="s">
        <v>36</v>
      </c>
      <c r="D19" t="str">
        <f t="shared" si="0"/>
        <v>2020-June</v>
      </c>
      <c r="E19">
        <v>154</v>
      </c>
      <c r="F19">
        <v>141.9</v>
      </c>
      <c r="G19">
        <v>146.4</v>
      </c>
      <c r="H19">
        <v>154.4</v>
      </c>
      <c r="I19">
        <v>135</v>
      </c>
    </row>
    <row r="20" spans="1:9" x14ac:dyDescent="0.35">
      <c r="A20" t="s">
        <v>31</v>
      </c>
      <c r="B20">
        <v>2020</v>
      </c>
      <c r="C20" t="s">
        <v>37</v>
      </c>
      <c r="D20" t="str">
        <f t="shared" si="0"/>
        <v>2020-July</v>
      </c>
      <c r="E20">
        <v>154</v>
      </c>
      <c r="F20">
        <v>141.9</v>
      </c>
      <c r="G20">
        <v>146.4</v>
      </c>
      <c r="H20">
        <v>154.4</v>
      </c>
      <c r="I20">
        <v>135</v>
      </c>
    </row>
    <row r="21" spans="1:9" x14ac:dyDescent="0.35">
      <c r="A21" t="s">
        <v>31</v>
      </c>
      <c r="B21">
        <v>2020</v>
      </c>
      <c r="C21" t="s">
        <v>38</v>
      </c>
      <c r="D21" t="str">
        <f t="shared" si="0"/>
        <v>2020-August</v>
      </c>
      <c r="E21">
        <v>157</v>
      </c>
      <c r="F21">
        <v>143</v>
      </c>
      <c r="G21">
        <v>148.4</v>
      </c>
      <c r="H21">
        <v>155</v>
      </c>
      <c r="I21">
        <v>138.5</v>
      </c>
    </row>
    <row r="22" spans="1:9" x14ac:dyDescent="0.35">
      <c r="A22" t="s">
        <v>31</v>
      </c>
      <c r="B22">
        <v>2020</v>
      </c>
      <c r="C22" t="s">
        <v>39</v>
      </c>
      <c r="D22" t="str">
        <f t="shared" si="0"/>
        <v>2020-September</v>
      </c>
      <c r="E22">
        <v>158</v>
      </c>
      <c r="F22">
        <v>142.9</v>
      </c>
      <c r="G22">
        <v>148.69999999999999</v>
      </c>
      <c r="H22">
        <v>155.6</v>
      </c>
      <c r="I22">
        <v>139.6</v>
      </c>
    </row>
    <row r="23" spans="1:9" x14ac:dyDescent="0.35">
      <c r="A23" t="s">
        <v>31</v>
      </c>
      <c r="B23">
        <v>2020</v>
      </c>
      <c r="C23" t="s">
        <v>40</v>
      </c>
      <c r="D23" t="str">
        <f t="shared" si="0"/>
        <v>2020-October</v>
      </c>
      <c r="E23">
        <v>161.4</v>
      </c>
      <c r="F23">
        <v>143.1</v>
      </c>
      <c r="G23">
        <v>148.69999999999999</v>
      </c>
      <c r="H23">
        <v>156.30000000000001</v>
      </c>
      <c r="I23">
        <v>140.6</v>
      </c>
    </row>
    <row r="24" spans="1:9" x14ac:dyDescent="0.35">
      <c r="A24" t="s">
        <v>31</v>
      </c>
      <c r="B24">
        <v>2020</v>
      </c>
      <c r="C24" t="s">
        <v>42</v>
      </c>
      <c r="D24" t="str">
        <f t="shared" si="0"/>
        <v>2020-November</v>
      </c>
      <c r="E24">
        <v>164.7</v>
      </c>
      <c r="F24">
        <v>143.6</v>
      </c>
      <c r="G24">
        <v>149.19999999999999</v>
      </c>
      <c r="H24">
        <v>157.19999999999999</v>
      </c>
      <c r="I24">
        <v>140.4</v>
      </c>
    </row>
    <row r="25" spans="1:9" x14ac:dyDescent="0.35">
      <c r="A25" t="s">
        <v>31</v>
      </c>
      <c r="B25">
        <v>2020</v>
      </c>
      <c r="C25" t="s">
        <v>43</v>
      </c>
      <c r="D25" t="str">
        <f t="shared" si="0"/>
        <v>2020-December</v>
      </c>
      <c r="E25">
        <v>165.4</v>
      </c>
      <c r="F25">
        <v>144.6</v>
      </c>
      <c r="G25">
        <v>149.69999999999999</v>
      </c>
      <c r="H25">
        <v>158.30000000000001</v>
      </c>
      <c r="I25">
        <v>140.69999999999999</v>
      </c>
    </row>
    <row r="26" spans="1:9" x14ac:dyDescent="0.35">
      <c r="A26" t="s">
        <v>31</v>
      </c>
      <c r="B26">
        <v>2021</v>
      </c>
      <c r="C26" t="s">
        <v>29</v>
      </c>
      <c r="D26" t="str">
        <f t="shared" si="0"/>
        <v>2021-January</v>
      </c>
      <c r="E26">
        <v>161</v>
      </c>
      <c r="F26">
        <v>147.9</v>
      </c>
      <c r="G26">
        <v>150</v>
      </c>
      <c r="H26">
        <v>159.30000000000001</v>
      </c>
      <c r="I26">
        <v>141.9</v>
      </c>
    </row>
    <row r="27" spans="1:9" x14ac:dyDescent="0.35">
      <c r="A27" t="s">
        <v>31</v>
      </c>
      <c r="B27">
        <v>2021</v>
      </c>
      <c r="C27" t="s">
        <v>32</v>
      </c>
      <c r="D27" t="str">
        <f t="shared" si="0"/>
        <v>2021-February</v>
      </c>
      <c r="E27">
        <v>156.9</v>
      </c>
      <c r="F27">
        <v>152.4</v>
      </c>
      <c r="G27">
        <v>150.9</v>
      </c>
      <c r="H27">
        <v>161.30000000000001</v>
      </c>
      <c r="I27">
        <v>145.1</v>
      </c>
    </row>
    <row r="28" spans="1:9" x14ac:dyDescent="0.35">
      <c r="A28" t="s">
        <v>31</v>
      </c>
      <c r="B28">
        <v>2021</v>
      </c>
      <c r="C28" t="s">
        <v>33</v>
      </c>
      <c r="D28" t="str">
        <f t="shared" si="0"/>
        <v>2021-March</v>
      </c>
      <c r="E28">
        <v>156.69999999999999</v>
      </c>
      <c r="F28">
        <v>155.5</v>
      </c>
      <c r="G28">
        <v>151.19999999999999</v>
      </c>
      <c r="H28">
        <v>161.69999999999999</v>
      </c>
      <c r="I28">
        <v>146.19999999999999</v>
      </c>
    </row>
    <row r="34" spans="1:6" ht="15.5" x14ac:dyDescent="0.35">
      <c r="A34" s="35" t="s">
        <v>94</v>
      </c>
      <c r="B34" s="35" t="s">
        <v>95</v>
      </c>
      <c r="C34" s="35" t="s">
        <v>96</v>
      </c>
      <c r="D34" s="35" t="s">
        <v>97</v>
      </c>
    </row>
    <row r="35" spans="1:6" ht="15.5" x14ac:dyDescent="0.35">
      <c r="A35" s="37" t="s">
        <v>98</v>
      </c>
      <c r="B35" s="38">
        <f>AVERAGE($E$5:$E$15)</f>
        <v>147.25454545454545</v>
      </c>
      <c r="C35" s="38">
        <f>AVERAGE($E$17:$E$28)</f>
        <v>157.65833333333336</v>
      </c>
      <c r="D35" s="38">
        <f>(C35-B35)/B35*100</f>
        <v>7.0651726550603176</v>
      </c>
    </row>
    <row r="36" spans="1:6" ht="15.5" x14ac:dyDescent="0.35">
      <c r="A36" s="37" t="s">
        <v>20</v>
      </c>
      <c r="B36" s="38">
        <f>AVERAGE($F$5:$F$15)</f>
        <v>141.50909090909093</v>
      </c>
      <c r="C36" s="38">
        <f>AVERAGE($F$17:$F$28)</f>
        <v>145.41666666666666</v>
      </c>
      <c r="D36" s="38">
        <f t="shared" ref="D36:D39" si="2">(C36-B36)/B36*100</f>
        <v>2.7613602295601312</v>
      </c>
    </row>
    <row r="37" spans="1:6" ht="15.5" x14ac:dyDescent="0.35">
      <c r="A37" s="37" t="s">
        <v>21</v>
      </c>
      <c r="B37" s="38">
        <f>AVERAGE($G$5:$G$15)</f>
        <v>144.84545454545457</v>
      </c>
      <c r="C37" s="38">
        <f>AVERAGE($G$17:$G$28)</f>
        <v>148.5229166666667</v>
      </c>
      <c r="D37" s="38">
        <f t="shared" si="2"/>
        <v>2.5388867967949178</v>
      </c>
    </row>
    <row r="38" spans="1:6" ht="15.5" x14ac:dyDescent="0.35">
      <c r="A38" s="37" t="s">
        <v>22</v>
      </c>
      <c r="B38" s="38">
        <f>AVERAGE($H$5:$H$15)</f>
        <v>148.95454545454547</v>
      </c>
      <c r="C38" s="38">
        <f>AVERAGE($H$17:$H$28)</f>
        <v>156.24166666666665</v>
      </c>
      <c r="D38" s="38">
        <f t="shared" si="2"/>
        <v>4.8921778049028353</v>
      </c>
    </row>
    <row r="39" spans="1:6" ht="15.5" x14ac:dyDescent="0.35">
      <c r="A39" s="37" t="s">
        <v>23</v>
      </c>
      <c r="B39" s="38">
        <f>AVERAGE($I$5:$I$15)</f>
        <v>126.86363636363636</v>
      </c>
      <c r="C39" s="38">
        <f>AVERAGE($I$17:$I$28)</f>
        <v>138.58750000000001</v>
      </c>
      <c r="D39" s="39">
        <f t="shared" si="2"/>
        <v>9.2413113579362314</v>
      </c>
    </row>
    <row r="42" spans="1:6" x14ac:dyDescent="0.35">
      <c r="B42" s="45" t="s">
        <v>135</v>
      </c>
      <c r="C42" s="45"/>
      <c r="D42" s="45"/>
      <c r="E42" s="45"/>
      <c r="F42" s="45"/>
    </row>
    <row r="43" spans="1:6" x14ac:dyDescent="0.35">
      <c r="B43" s="45"/>
      <c r="C43" s="45"/>
      <c r="D43" s="45"/>
      <c r="E43" s="45"/>
      <c r="F43" s="45"/>
    </row>
  </sheetData>
  <mergeCells count="1">
    <mergeCell ref="B42:F4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58F2-F777-416B-AEF6-3A1A6CD4AAE5}">
  <dimension ref="A1:AF98"/>
  <sheetViews>
    <sheetView zoomScaleNormal="100" workbookViewId="0">
      <selection activeCell="C80" sqref="C80"/>
    </sheetView>
  </sheetViews>
  <sheetFormatPr defaultRowHeight="14.5" x14ac:dyDescent="0.35"/>
  <cols>
    <col min="1" max="1" width="21.26953125" customWidth="1"/>
    <col min="2" max="2" width="24.08984375" customWidth="1"/>
    <col min="3" max="3" width="14.453125" customWidth="1"/>
    <col min="32" max="32" width="31.08984375" bestFit="1" customWidth="1"/>
  </cols>
  <sheetData>
    <row r="1" spans="1:3" s="8" customFormat="1" x14ac:dyDescent="0.35">
      <c r="A1" s="8" t="s">
        <v>105</v>
      </c>
    </row>
    <row r="2" spans="1:3" s="8" customFormat="1" x14ac:dyDescent="0.35">
      <c r="A2" s="8" t="s">
        <v>106</v>
      </c>
    </row>
    <row r="3" spans="1:3" s="8" customFormat="1" x14ac:dyDescent="0.35">
      <c r="A3" s="8" t="s">
        <v>107</v>
      </c>
    </row>
    <row r="6" spans="1:3" x14ac:dyDescent="0.35">
      <c r="A6" s="6" t="s">
        <v>62</v>
      </c>
      <c r="B6" s="6" t="s">
        <v>104</v>
      </c>
      <c r="C6" s="6" t="s">
        <v>92</v>
      </c>
    </row>
    <row r="7" spans="1:3" x14ac:dyDescent="0.35">
      <c r="A7" t="s">
        <v>63</v>
      </c>
      <c r="B7">
        <v>54.77</v>
      </c>
    </row>
    <row r="8" spans="1:3" x14ac:dyDescent="0.35">
      <c r="A8" t="s">
        <v>64</v>
      </c>
      <c r="B8">
        <v>60.61</v>
      </c>
      <c r="C8" s="3">
        <f>(B8-B7)/B7*100</f>
        <v>10.662771590286646</v>
      </c>
    </row>
    <row r="9" spans="1:3" x14ac:dyDescent="0.35">
      <c r="A9" t="s">
        <v>65</v>
      </c>
      <c r="B9">
        <v>63.4</v>
      </c>
      <c r="C9" s="3">
        <f t="shared" ref="C9:C35" si="0">(B9-B8)/B8*100</f>
        <v>4.6032007919485221</v>
      </c>
    </row>
    <row r="10" spans="1:3" x14ac:dyDescent="0.35">
      <c r="A10" t="s">
        <v>66</v>
      </c>
      <c r="B10">
        <v>63.93</v>
      </c>
      <c r="C10" s="3">
        <f t="shared" si="0"/>
        <v>0.83596214511041189</v>
      </c>
    </row>
    <row r="11" spans="1:3" x14ac:dyDescent="0.35">
      <c r="A11" t="s">
        <v>67</v>
      </c>
      <c r="B11">
        <v>66.95</v>
      </c>
      <c r="C11" s="3">
        <f t="shared" si="0"/>
        <v>4.7239167839824852</v>
      </c>
    </row>
    <row r="12" spans="1:3" x14ac:dyDescent="0.35">
      <c r="A12" t="s">
        <v>68</v>
      </c>
      <c r="B12">
        <v>71.98</v>
      </c>
      <c r="C12" s="3">
        <f t="shared" si="0"/>
        <v>7.5130694548170283</v>
      </c>
    </row>
    <row r="13" spans="1:3" x14ac:dyDescent="0.35">
      <c r="A13" t="s">
        <v>69</v>
      </c>
      <c r="B13">
        <v>72.91</v>
      </c>
      <c r="C13" s="3">
        <f t="shared" si="0"/>
        <v>1.2920255626562831</v>
      </c>
    </row>
    <row r="14" spans="1:3" x14ac:dyDescent="0.35">
      <c r="A14" t="s">
        <v>70</v>
      </c>
      <c r="B14">
        <v>69.3</v>
      </c>
      <c r="C14" s="3">
        <f t="shared" si="0"/>
        <v>-4.951309834041969</v>
      </c>
    </row>
    <row r="15" spans="1:3" x14ac:dyDescent="0.35">
      <c r="A15" t="s">
        <v>71</v>
      </c>
      <c r="B15">
        <v>73.13</v>
      </c>
      <c r="C15" s="3">
        <f t="shared" si="0"/>
        <v>5.5266955266955247</v>
      </c>
    </row>
    <row r="16" spans="1:3" x14ac:dyDescent="0.35">
      <c r="A16" t="s">
        <v>72</v>
      </c>
      <c r="B16">
        <v>80.64</v>
      </c>
      <c r="C16" s="3">
        <f t="shared" si="0"/>
        <v>10.269383290031458</v>
      </c>
    </row>
    <row r="17" spans="1:12" x14ac:dyDescent="0.35">
      <c r="A17" t="s">
        <v>73</v>
      </c>
      <c r="B17">
        <v>81.52</v>
      </c>
      <c r="C17" s="3">
        <f t="shared" si="0"/>
        <v>1.0912698412698356</v>
      </c>
    </row>
    <row r="18" spans="1:12" x14ac:dyDescent="0.35">
      <c r="A18" t="s">
        <v>74</v>
      </c>
      <c r="B18">
        <v>73.3</v>
      </c>
      <c r="C18" s="3">
        <f t="shared" si="0"/>
        <v>-10.083415112855739</v>
      </c>
    </row>
    <row r="19" spans="1:12" x14ac:dyDescent="0.35">
      <c r="A19" t="s">
        <v>75</v>
      </c>
      <c r="B19">
        <v>84.67</v>
      </c>
      <c r="C19" s="3">
        <f t="shared" si="0"/>
        <v>15.511596180081863</v>
      </c>
    </row>
    <row r="20" spans="1:12" x14ac:dyDescent="0.35">
      <c r="A20" t="s">
        <v>76</v>
      </c>
      <c r="B20">
        <v>94.07</v>
      </c>
      <c r="C20" s="3">
        <f t="shared" si="0"/>
        <v>11.101925121058215</v>
      </c>
    </row>
    <row r="21" spans="1:12" x14ac:dyDescent="0.35">
      <c r="A21" t="s">
        <v>77</v>
      </c>
      <c r="B21">
        <v>112.87</v>
      </c>
      <c r="C21" s="9">
        <f t="shared" si="0"/>
        <v>19.985117465717035</v>
      </c>
    </row>
    <row r="22" spans="1:12" x14ac:dyDescent="0.35">
      <c r="A22" t="s">
        <v>78</v>
      </c>
      <c r="B22">
        <v>103.46</v>
      </c>
      <c r="C22" s="3">
        <f t="shared" si="0"/>
        <v>-8.3370248958979438</v>
      </c>
    </row>
    <row r="23" spans="1:12" x14ac:dyDescent="0.35">
      <c r="A23" t="s">
        <v>79</v>
      </c>
      <c r="B23">
        <v>109.51</v>
      </c>
      <c r="C23" s="3">
        <f t="shared" si="0"/>
        <v>5.8476705973323133</v>
      </c>
    </row>
    <row r="24" spans="1:12" x14ac:dyDescent="0.35">
      <c r="A24" t="s">
        <v>80</v>
      </c>
      <c r="B24">
        <v>116.01</v>
      </c>
      <c r="C24" s="3">
        <f t="shared" si="0"/>
        <v>5.9355310017350016</v>
      </c>
      <c r="G24" s="4" t="s">
        <v>108</v>
      </c>
      <c r="H24" s="4"/>
      <c r="I24" s="4"/>
      <c r="J24" s="4"/>
      <c r="K24" s="4"/>
      <c r="L24" s="4"/>
    </row>
    <row r="25" spans="1:12" x14ac:dyDescent="0.35">
      <c r="A25" t="s">
        <v>81</v>
      </c>
      <c r="B25">
        <v>105.49</v>
      </c>
      <c r="C25" s="3">
        <f t="shared" si="0"/>
        <v>-9.0681837772605896</v>
      </c>
    </row>
    <row r="26" spans="1:12" x14ac:dyDescent="0.35">
      <c r="A26" t="s">
        <v>82</v>
      </c>
      <c r="B26">
        <v>97.4</v>
      </c>
      <c r="C26" s="3">
        <f t="shared" si="0"/>
        <v>-7.6689733624040093</v>
      </c>
      <c r="G26" s="10" t="s">
        <v>109</v>
      </c>
      <c r="H26" s="10"/>
      <c r="I26" s="10"/>
      <c r="J26" s="10"/>
      <c r="K26" s="10"/>
      <c r="L26" s="10"/>
    </row>
    <row r="27" spans="1:12" x14ac:dyDescent="0.35">
      <c r="A27" t="s">
        <v>83</v>
      </c>
      <c r="B27">
        <v>90.71</v>
      </c>
      <c r="C27" s="3">
        <f t="shared" si="0"/>
        <v>-6.8685831622176714</v>
      </c>
    </row>
    <row r="28" spans="1:12" x14ac:dyDescent="0.35">
      <c r="A28" t="s">
        <v>84</v>
      </c>
      <c r="B28">
        <v>93.54</v>
      </c>
      <c r="C28" s="3">
        <f t="shared" si="0"/>
        <v>3.1198324330283458</v>
      </c>
    </row>
    <row r="29" spans="1:12" x14ac:dyDescent="0.35">
      <c r="A29" t="s">
        <v>85</v>
      </c>
      <c r="B29">
        <v>89.38</v>
      </c>
      <c r="C29" s="3">
        <f t="shared" si="0"/>
        <v>-4.4472952747487815</v>
      </c>
    </row>
    <row r="30" spans="1:12" x14ac:dyDescent="0.35">
      <c r="A30" t="s">
        <v>86</v>
      </c>
      <c r="B30">
        <v>78.92</v>
      </c>
      <c r="C30" s="11">
        <f t="shared" si="0"/>
        <v>-11.702841799060186</v>
      </c>
      <c r="G30" s="3"/>
    </row>
    <row r="31" spans="1:12" x14ac:dyDescent="0.35">
      <c r="A31" t="s">
        <v>87</v>
      </c>
      <c r="B31">
        <v>79.98</v>
      </c>
      <c r="C31" s="3">
        <f t="shared" si="0"/>
        <v>1.3431322858591006</v>
      </c>
    </row>
    <row r="32" spans="1:12" x14ac:dyDescent="0.35">
      <c r="A32" t="s">
        <v>88</v>
      </c>
      <c r="B32">
        <v>82.89</v>
      </c>
      <c r="C32" s="3">
        <f t="shared" si="0"/>
        <v>3.6384096024005954</v>
      </c>
    </row>
    <row r="33" spans="1:32" x14ac:dyDescent="0.35">
      <c r="A33" t="s">
        <v>89</v>
      </c>
      <c r="B33">
        <v>77.83</v>
      </c>
      <c r="C33" s="3">
        <f t="shared" si="0"/>
        <v>-6.1044758113162043</v>
      </c>
    </row>
    <row r="34" spans="1:32" x14ac:dyDescent="0.35">
      <c r="A34" t="s">
        <v>90</v>
      </c>
      <c r="B34">
        <v>84.42</v>
      </c>
      <c r="C34" s="3">
        <f t="shared" si="0"/>
        <v>8.4671720416291958</v>
      </c>
    </row>
    <row r="35" spans="1:32" x14ac:dyDescent="0.35">
      <c r="A35" t="s">
        <v>91</v>
      </c>
      <c r="B35">
        <v>76.25</v>
      </c>
      <c r="C35" s="3">
        <f t="shared" si="0"/>
        <v>-9.6778014688462459</v>
      </c>
    </row>
    <row r="39" spans="1:32" x14ac:dyDescent="0.35">
      <c r="A39" s="6" t="s">
        <v>0</v>
      </c>
      <c r="B39" s="6" t="s">
        <v>1</v>
      </c>
      <c r="C39" s="6" t="s">
        <v>2</v>
      </c>
      <c r="D39" s="6" t="s">
        <v>62</v>
      </c>
      <c r="E39" s="6" t="s">
        <v>3</v>
      </c>
      <c r="F39" s="6" t="s">
        <v>4</v>
      </c>
      <c r="G39" s="6" t="s">
        <v>5</v>
      </c>
      <c r="H39" s="6" t="s">
        <v>6</v>
      </c>
      <c r="I39" s="6" t="s">
        <v>7</v>
      </c>
      <c r="J39" s="6" t="s">
        <v>8</v>
      </c>
      <c r="K39" s="6" t="s">
        <v>9</v>
      </c>
      <c r="L39" s="6" t="s">
        <v>10</v>
      </c>
      <c r="M39" s="6" t="s">
        <v>11</v>
      </c>
      <c r="N39" s="6" t="s">
        <v>12</v>
      </c>
      <c r="O39" s="6" t="s">
        <v>13</v>
      </c>
      <c r="P39" s="6" t="s">
        <v>44</v>
      </c>
      <c r="Q39" s="6" t="s">
        <v>14</v>
      </c>
      <c r="R39" s="6" t="s">
        <v>15</v>
      </c>
      <c r="S39" s="6" t="s">
        <v>16</v>
      </c>
      <c r="T39" s="6" t="s">
        <v>17</v>
      </c>
      <c r="U39" s="6" t="s">
        <v>18</v>
      </c>
      <c r="V39" s="6" t="s">
        <v>19</v>
      </c>
      <c r="W39" s="6" t="s">
        <v>20</v>
      </c>
      <c r="X39" s="6" t="s">
        <v>21</v>
      </c>
      <c r="Y39" s="6" t="s">
        <v>22</v>
      </c>
      <c r="Z39" s="6" t="s">
        <v>23</v>
      </c>
      <c r="AA39" s="6" t="s">
        <v>24</v>
      </c>
      <c r="AB39" s="6" t="s">
        <v>25</v>
      </c>
      <c r="AC39" s="6" t="s">
        <v>45</v>
      </c>
      <c r="AD39" s="6" t="s">
        <v>26</v>
      </c>
      <c r="AE39" s="6" t="s">
        <v>27</v>
      </c>
      <c r="AF39" s="6" t="s">
        <v>104</v>
      </c>
    </row>
    <row r="40" spans="1:32" x14ac:dyDescent="0.35">
      <c r="A40" t="s">
        <v>31</v>
      </c>
      <c r="B40">
        <v>2021</v>
      </c>
      <c r="C40" t="s">
        <v>29</v>
      </c>
      <c r="D40" t="str">
        <f>_xlfn.CONCAT(B40,"-",C40)</f>
        <v>2021-January</v>
      </c>
      <c r="E40">
        <v>144.9</v>
      </c>
      <c r="F40">
        <v>190.1</v>
      </c>
      <c r="G40">
        <v>175.3</v>
      </c>
      <c r="H40">
        <v>154.1</v>
      </c>
      <c r="I40">
        <v>150.9</v>
      </c>
      <c r="J40">
        <v>149.6</v>
      </c>
      <c r="K40">
        <v>194.2</v>
      </c>
      <c r="L40">
        <v>160.4</v>
      </c>
      <c r="M40">
        <v>114.6</v>
      </c>
      <c r="N40">
        <v>164</v>
      </c>
      <c r="O40">
        <v>151.80000000000001</v>
      </c>
      <c r="P40">
        <v>165.6</v>
      </c>
      <c r="Q40">
        <v>161</v>
      </c>
      <c r="R40">
        <v>186.5</v>
      </c>
      <c r="S40">
        <v>155.5</v>
      </c>
      <c r="T40">
        <v>146.1</v>
      </c>
      <c r="U40">
        <v>154.19999999999999</v>
      </c>
      <c r="V40">
        <v>157.69999999999999</v>
      </c>
      <c r="W40">
        <v>147.9</v>
      </c>
      <c r="X40">
        <v>150</v>
      </c>
      <c r="Y40">
        <v>159.30000000000001</v>
      </c>
      <c r="Z40">
        <v>141.9</v>
      </c>
      <c r="AA40">
        <v>149.6</v>
      </c>
      <c r="AB40">
        <v>159.19999999999999</v>
      </c>
      <c r="AC40">
        <v>156.80000000000001</v>
      </c>
      <c r="AD40">
        <v>151.9</v>
      </c>
      <c r="AE40">
        <v>157.30000000000001</v>
      </c>
      <c r="AF40">
        <v>54.77</v>
      </c>
    </row>
    <row r="41" spans="1:32" x14ac:dyDescent="0.35">
      <c r="A41" t="s">
        <v>31</v>
      </c>
      <c r="B41">
        <v>2021</v>
      </c>
      <c r="C41" t="s">
        <v>32</v>
      </c>
      <c r="D41" t="str">
        <f t="shared" ref="D41:D68" si="1">_xlfn.CONCAT(B41,"-",C41)</f>
        <v>2021-February</v>
      </c>
      <c r="E41">
        <v>144.30000000000001</v>
      </c>
      <c r="F41">
        <v>186.5</v>
      </c>
      <c r="G41">
        <v>168.7</v>
      </c>
      <c r="H41">
        <v>154.69999999999999</v>
      </c>
      <c r="I41">
        <v>158.69999999999999</v>
      </c>
      <c r="J41">
        <v>150.69999999999999</v>
      </c>
      <c r="K41">
        <v>160</v>
      </c>
      <c r="L41">
        <v>158.80000000000001</v>
      </c>
      <c r="M41">
        <v>112.8</v>
      </c>
      <c r="N41">
        <v>164.2</v>
      </c>
      <c r="O41">
        <v>155.5</v>
      </c>
      <c r="P41">
        <v>167.5</v>
      </c>
      <c r="Q41">
        <v>156.9</v>
      </c>
      <c r="R41">
        <v>188.3</v>
      </c>
      <c r="S41">
        <v>157.19999999999999</v>
      </c>
      <c r="T41">
        <v>147.4</v>
      </c>
      <c r="U41">
        <v>155.80000000000001</v>
      </c>
      <c r="V41">
        <v>159.80000000000001</v>
      </c>
      <c r="W41">
        <v>152.4</v>
      </c>
      <c r="X41">
        <v>150.9</v>
      </c>
      <c r="Y41">
        <v>161.30000000000001</v>
      </c>
      <c r="Z41">
        <v>145.1</v>
      </c>
      <c r="AA41">
        <v>151.5</v>
      </c>
      <c r="AB41">
        <v>159.5</v>
      </c>
      <c r="AC41">
        <v>155.80000000000001</v>
      </c>
      <c r="AD41">
        <v>153.4</v>
      </c>
      <c r="AE41">
        <v>156.6</v>
      </c>
      <c r="AF41">
        <v>60.61</v>
      </c>
    </row>
    <row r="42" spans="1:32" x14ac:dyDescent="0.35">
      <c r="A42" t="s">
        <v>31</v>
      </c>
      <c r="B42">
        <v>2021</v>
      </c>
      <c r="C42" t="s">
        <v>33</v>
      </c>
      <c r="D42" t="str">
        <f t="shared" si="1"/>
        <v>2021-March</v>
      </c>
      <c r="E42">
        <v>144.1</v>
      </c>
      <c r="F42">
        <v>192.2</v>
      </c>
      <c r="G42">
        <v>163.80000000000001</v>
      </c>
      <c r="H42">
        <v>154.9</v>
      </c>
      <c r="I42">
        <v>163.9</v>
      </c>
      <c r="J42">
        <v>153.69999999999999</v>
      </c>
      <c r="K42">
        <v>149.5</v>
      </c>
      <c r="L42">
        <v>159.80000000000001</v>
      </c>
      <c r="M42">
        <v>112.6</v>
      </c>
      <c r="N42">
        <v>163.5</v>
      </c>
      <c r="O42">
        <v>156.5</v>
      </c>
      <c r="P42">
        <v>168.2</v>
      </c>
      <c r="Q42">
        <v>156.69999999999999</v>
      </c>
      <c r="R42">
        <v>188.1</v>
      </c>
      <c r="S42">
        <v>157.80000000000001</v>
      </c>
      <c r="T42">
        <v>147.9</v>
      </c>
      <c r="U42">
        <v>156.4</v>
      </c>
      <c r="V42">
        <v>159.9</v>
      </c>
      <c r="W42">
        <v>155.5</v>
      </c>
      <c r="X42">
        <v>151.19999999999999</v>
      </c>
      <c r="Y42">
        <v>161.69999999999999</v>
      </c>
      <c r="Z42">
        <v>146.19999999999999</v>
      </c>
      <c r="AA42">
        <v>152.6</v>
      </c>
      <c r="AB42">
        <v>160.19999999999999</v>
      </c>
      <c r="AC42">
        <v>153.80000000000001</v>
      </c>
      <c r="AD42">
        <v>153.80000000000001</v>
      </c>
      <c r="AE42">
        <v>156.80000000000001</v>
      </c>
      <c r="AF42">
        <v>63.4</v>
      </c>
    </row>
    <row r="43" spans="1:32" x14ac:dyDescent="0.35">
      <c r="A43" t="s">
        <v>31</v>
      </c>
      <c r="B43">
        <v>2021</v>
      </c>
      <c r="C43" t="s">
        <v>34</v>
      </c>
      <c r="D43" t="str">
        <f t="shared" si="1"/>
        <v>2021-April</v>
      </c>
      <c r="E43">
        <v>144.30000000000001</v>
      </c>
      <c r="F43">
        <v>198</v>
      </c>
      <c r="G43">
        <v>164.6</v>
      </c>
      <c r="H43">
        <v>155.4</v>
      </c>
      <c r="I43">
        <v>170.1</v>
      </c>
      <c r="J43">
        <v>164.4</v>
      </c>
      <c r="K43">
        <v>144.1</v>
      </c>
      <c r="L43">
        <v>161.69999999999999</v>
      </c>
      <c r="M43">
        <v>113.1</v>
      </c>
      <c r="N43">
        <v>163.9</v>
      </c>
      <c r="O43">
        <v>157.6</v>
      </c>
      <c r="P43">
        <v>168.9</v>
      </c>
      <c r="Q43">
        <v>158</v>
      </c>
      <c r="R43">
        <v>188.8</v>
      </c>
      <c r="S43">
        <v>158.80000000000001</v>
      </c>
      <c r="T43">
        <v>148.5</v>
      </c>
      <c r="U43">
        <v>157.30000000000001</v>
      </c>
      <c r="V43">
        <v>161.4</v>
      </c>
      <c r="W43">
        <v>155.6</v>
      </c>
      <c r="X43">
        <v>151.80000000000001</v>
      </c>
      <c r="Y43">
        <v>162.30000000000001</v>
      </c>
      <c r="Z43">
        <v>146.6</v>
      </c>
      <c r="AA43">
        <v>153.19999999999999</v>
      </c>
      <c r="AB43">
        <v>160.30000000000001</v>
      </c>
      <c r="AC43">
        <v>155.4</v>
      </c>
      <c r="AD43">
        <v>154.4</v>
      </c>
      <c r="AE43">
        <v>157.80000000000001</v>
      </c>
      <c r="AF43">
        <v>63.93</v>
      </c>
    </row>
    <row r="44" spans="1:32" x14ac:dyDescent="0.35">
      <c r="A44" t="s">
        <v>31</v>
      </c>
      <c r="B44">
        <v>2021</v>
      </c>
      <c r="C44" t="s">
        <v>35</v>
      </c>
      <c r="D44" t="str">
        <f t="shared" si="1"/>
        <v>2021-May</v>
      </c>
      <c r="E44">
        <v>146.30000000000001</v>
      </c>
      <c r="F44">
        <v>200.5</v>
      </c>
      <c r="G44">
        <v>170.3</v>
      </c>
      <c r="H44">
        <v>156.1</v>
      </c>
      <c r="I44">
        <v>178.7</v>
      </c>
      <c r="J44">
        <v>167.1</v>
      </c>
      <c r="K44">
        <v>147.9</v>
      </c>
      <c r="L44">
        <v>165.4</v>
      </c>
      <c r="M44">
        <v>114.8</v>
      </c>
      <c r="N44">
        <v>168.2</v>
      </c>
      <c r="O44">
        <v>159.30000000000001</v>
      </c>
      <c r="P44">
        <v>170.4</v>
      </c>
      <c r="Q44">
        <v>160.69999999999999</v>
      </c>
      <c r="R44">
        <v>191.9</v>
      </c>
      <c r="S44">
        <v>161.80000000000001</v>
      </c>
      <c r="T44">
        <v>152.1</v>
      </c>
      <c r="U44">
        <v>160.4</v>
      </c>
      <c r="V44">
        <v>161.6</v>
      </c>
      <c r="W44">
        <v>159.4</v>
      </c>
      <c r="X44">
        <v>154.69999999999999</v>
      </c>
      <c r="Y44">
        <v>165.8</v>
      </c>
      <c r="Z44">
        <v>148.9</v>
      </c>
      <c r="AA44">
        <v>155.80000000000001</v>
      </c>
      <c r="AB44">
        <v>161.19999999999999</v>
      </c>
      <c r="AC44">
        <v>158.6</v>
      </c>
      <c r="AD44">
        <v>156.80000000000001</v>
      </c>
      <c r="AE44">
        <v>160.4</v>
      </c>
      <c r="AF44">
        <v>66.95</v>
      </c>
    </row>
    <row r="45" spans="1:32" x14ac:dyDescent="0.35">
      <c r="A45" t="s">
        <v>31</v>
      </c>
      <c r="B45">
        <v>2021</v>
      </c>
      <c r="C45" t="s">
        <v>36</v>
      </c>
      <c r="D45" t="str">
        <f t="shared" si="1"/>
        <v>2021-June</v>
      </c>
      <c r="E45">
        <v>146.69999999999999</v>
      </c>
      <c r="F45">
        <v>202</v>
      </c>
      <c r="G45">
        <v>180.7</v>
      </c>
      <c r="H45">
        <v>156.19999999999999</v>
      </c>
      <c r="I45">
        <v>183.7</v>
      </c>
      <c r="J45">
        <v>164.6</v>
      </c>
      <c r="K45">
        <v>155.4</v>
      </c>
      <c r="L45">
        <v>166</v>
      </c>
      <c r="M45">
        <v>115.1</v>
      </c>
      <c r="N45">
        <v>168.5</v>
      </c>
      <c r="O45">
        <v>160</v>
      </c>
      <c r="P45">
        <v>172.4</v>
      </c>
      <c r="Q45">
        <v>162.6</v>
      </c>
      <c r="R45">
        <v>190.8</v>
      </c>
      <c r="S45">
        <v>162.19999999999999</v>
      </c>
      <c r="T45">
        <v>151.80000000000001</v>
      </c>
      <c r="U45">
        <v>160.69999999999999</v>
      </c>
      <c r="V45">
        <v>160.5</v>
      </c>
      <c r="W45">
        <v>159.80000000000001</v>
      </c>
      <c r="X45">
        <v>154.80000000000001</v>
      </c>
      <c r="Y45">
        <v>166.3</v>
      </c>
      <c r="Z45">
        <v>150.69999999999999</v>
      </c>
      <c r="AA45">
        <v>154.9</v>
      </c>
      <c r="AB45">
        <v>161.69999999999999</v>
      </c>
      <c r="AC45">
        <v>158.80000000000001</v>
      </c>
      <c r="AD45">
        <v>157.6</v>
      </c>
      <c r="AE45">
        <v>161.30000000000001</v>
      </c>
      <c r="AF45">
        <v>71.98</v>
      </c>
    </row>
    <row r="46" spans="1:32" x14ac:dyDescent="0.35">
      <c r="A46" t="s">
        <v>31</v>
      </c>
      <c r="B46">
        <v>2021</v>
      </c>
      <c r="C46" t="s">
        <v>37</v>
      </c>
      <c r="D46" t="str">
        <f t="shared" si="1"/>
        <v>2021-July</v>
      </c>
      <c r="E46">
        <v>146.4</v>
      </c>
      <c r="F46">
        <v>206.8</v>
      </c>
      <c r="G46">
        <v>182.2</v>
      </c>
      <c r="H46">
        <v>157.5</v>
      </c>
      <c r="I46">
        <v>182.1</v>
      </c>
      <c r="J46">
        <v>163.9</v>
      </c>
      <c r="K46">
        <v>164.2</v>
      </c>
      <c r="L46">
        <v>164</v>
      </c>
      <c r="M46">
        <v>114.5</v>
      </c>
      <c r="N46">
        <v>168.3</v>
      </c>
      <c r="O46">
        <v>160.9</v>
      </c>
      <c r="P46">
        <v>172.2</v>
      </c>
      <c r="Q46">
        <v>164</v>
      </c>
      <c r="R46">
        <v>191.2</v>
      </c>
      <c r="S46">
        <v>162.80000000000001</v>
      </c>
      <c r="T46">
        <v>153.1</v>
      </c>
      <c r="U46">
        <v>161.4</v>
      </c>
      <c r="V46">
        <v>161.5</v>
      </c>
      <c r="W46">
        <v>160.69999999999999</v>
      </c>
      <c r="X46">
        <v>155.80000000000001</v>
      </c>
      <c r="Y46">
        <v>167</v>
      </c>
      <c r="Z46">
        <v>153.1</v>
      </c>
      <c r="AA46">
        <v>155.30000000000001</v>
      </c>
      <c r="AB46">
        <v>163.19999999999999</v>
      </c>
      <c r="AC46">
        <v>160.1</v>
      </c>
      <c r="AD46">
        <v>159</v>
      </c>
      <c r="AE46">
        <v>162.5</v>
      </c>
      <c r="AF46">
        <v>72.91</v>
      </c>
    </row>
    <row r="47" spans="1:32" x14ac:dyDescent="0.35">
      <c r="A47" t="s">
        <v>31</v>
      </c>
      <c r="B47">
        <v>2021</v>
      </c>
      <c r="C47" t="s">
        <v>38</v>
      </c>
      <c r="D47" t="str">
        <f t="shared" si="1"/>
        <v>2021-August</v>
      </c>
      <c r="E47">
        <v>146.6</v>
      </c>
      <c r="F47">
        <v>204</v>
      </c>
      <c r="G47">
        <v>172.8</v>
      </c>
      <c r="H47">
        <v>158.4</v>
      </c>
      <c r="I47">
        <v>188</v>
      </c>
      <c r="J47">
        <v>156.80000000000001</v>
      </c>
      <c r="K47">
        <v>162.19999999999999</v>
      </c>
      <c r="L47">
        <v>164.1</v>
      </c>
      <c r="M47">
        <v>119.7</v>
      </c>
      <c r="N47">
        <v>168.8</v>
      </c>
      <c r="O47">
        <v>162.69999999999999</v>
      </c>
      <c r="P47">
        <v>173.9</v>
      </c>
      <c r="Q47">
        <v>164</v>
      </c>
      <c r="R47">
        <v>192.1</v>
      </c>
      <c r="S47">
        <v>164.5</v>
      </c>
      <c r="T47">
        <v>155.30000000000001</v>
      </c>
      <c r="U47">
        <v>163.19999999999999</v>
      </c>
      <c r="V47">
        <v>162.1</v>
      </c>
      <c r="W47">
        <v>162.6</v>
      </c>
      <c r="X47">
        <v>157.5</v>
      </c>
      <c r="Y47">
        <v>168.4</v>
      </c>
      <c r="Z47">
        <v>154</v>
      </c>
      <c r="AA47">
        <v>157.6</v>
      </c>
      <c r="AB47">
        <v>163.80000000000001</v>
      </c>
      <c r="AC47">
        <v>160</v>
      </c>
      <c r="AD47">
        <v>160</v>
      </c>
      <c r="AE47">
        <v>163.19999999999999</v>
      </c>
      <c r="AF47">
        <v>69.3</v>
      </c>
    </row>
    <row r="48" spans="1:32" x14ac:dyDescent="0.35">
      <c r="A48" t="s">
        <v>31</v>
      </c>
      <c r="B48">
        <v>2021</v>
      </c>
      <c r="C48" t="s">
        <v>39</v>
      </c>
      <c r="D48" t="str">
        <f t="shared" si="1"/>
        <v>2021-September</v>
      </c>
      <c r="E48">
        <v>146.6</v>
      </c>
      <c r="F48">
        <v>204</v>
      </c>
      <c r="G48">
        <v>172.8</v>
      </c>
      <c r="H48">
        <v>158.4</v>
      </c>
      <c r="I48">
        <v>188</v>
      </c>
      <c r="J48">
        <v>156.69999999999999</v>
      </c>
      <c r="K48">
        <v>162.30000000000001</v>
      </c>
      <c r="L48">
        <v>164.1</v>
      </c>
      <c r="M48">
        <v>119.7</v>
      </c>
      <c r="N48">
        <v>168.8</v>
      </c>
      <c r="O48">
        <v>162.69999999999999</v>
      </c>
      <c r="P48">
        <v>173.9</v>
      </c>
      <c r="Q48">
        <v>164</v>
      </c>
      <c r="R48">
        <v>192.1</v>
      </c>
      <c r="S48">
        <v>164.6</v>
      </c>
      <c r="T48">
        <v>155.30000000000001</v>
      </c>
      <c r="U48">
        <v>163.30000000000001</v>
      </c>
      <c r="V48">
        <v>162.1</v>
      </c>
      <c r="W48">
        <v>162.6</v>
      </c>
      <c r="X48">
        <v>157.5</v>
      </c>
      <c r="Y48">
        <v>168.4</v>
      </c>
      <c r="Z48">
        <v>154</v>
      </c>
      <c r="AA48">
        <v>157.69999999999999</v>
      </c>
      <c r="AB48">
        <v>163.69999999999999</v>
      </c>
      <c r="AC48">
        <v>160</v>
      </c>
      <c r="AD48">
        <v>160</v>
      </c>
      <c r="AE48">
        <v>163.19999999999999</v>
      </c>
      <c r="AF48">
        <v>73.13</v>
      </c>
    </row>
    <row r="49" spans="1:32" x14ac:dyDescent="0.35">
      <c r="A49" t="s">
        <v>31</v>
      </c>
      <c r="B49">
        <v>2021</v>
      </c>
      <c r="C49" t="s">
        <v>40</v>
      </c>
      <c r="D49" t="str">
        <f t="shared" si="1"/>
        <v>2021-October</v>
      </c>
      <c r="E49">
        <v>147.4</v>
      </c>
      <c r="F49">
        <v>204.6</v>
      </c>
      <c r="G49">
        <v>171.2</v>
      </c>
      <c r="H49">
        <v>158.69999999999999</v>
      </c>
      <c r="I49">
        <v>190.6</v>
      </c>
      <c r="J49">
        <v>155.69999999999999</v>
      </c>
      <c r="K49">
        <v>185.3</v>
      </c>
      <c r="L49">
        <v>165.2</v>
      </c>
      <c r="M49">
        <v>121.9</v>
      </c>
      <c r="N49">
        <v>169.3</v>
      </c>
      <c r="O49">
        <v>163.19999999999999</v>
      </c>
      <c r="P49">
        <v>174.7</v>
      </c>
      <c r="Q49">
        <v>167.7</v>
      </c>
      <c r="R49">
        <v>192.7</v>
      </c>
      <c r="S49">
        <v>165.7</v>
      </c>
      <c r="T49">
        <v>156.30000000000001</v>
      </c>
      <c r="U49">
        <v>164.3</v>
      </c>
      <c r="V49">
        <v>163.6</v>
      </c>
      <c r="W49">
        <v>164.2</v>
      </c>
      <c r="X49">
        <v>158.4</v>
      </c>
      <c r="Y49">
        <v>169.1</v>
      </c>
      <c r="Z49">
        <v>155.69999999999999</v>
      </c>
      <c r="AA49">
        <v>158.6</v>
      </c>
      <c r="AB49">
        <v>163.9</v>
      </c>
      <c r="AC49">
        <v>160.80000000000001</v>
      </c>
      <c r="AD49">
        <v>161</v>
      </c>
      <c r="AE49">
        <v>165.5</v>
      </c>
      <c r="AF49">
        <v>80.64</v>
      </c>
    </row>
    <row r="50" spans="1:32" x14ac:dyDescent="0.35">
      <c r="A50" t="s">
        <v>31</v>
      </c>
      <c r="B50">
        <v>2021</v>
      </c>
      <c r="C50" t="s">
        <v>42</v>
      </c>
      <c r="D50" t="str">
        <f t="shared" si="1"/>
        <v>2021-November</v>
      </c>
      <c r="E50">
        <v>148.19999999999999</v>
      </c>
      <c r="F50">
        <v>201.6</v>
      </c>
      <c r="G50">
        <v>173</v>
      </c>
      <c r="H50">
        <v>159.30000000000001</v>
      </c>
      <c r="I50">
        <v>190.1</v>
      </c>
      <c r="J50">
        <v>156.5</v>
      </c>
      <c r="K50">
        <v>199.2</v>
      </c>
      <c r="L50">
        <v>165.3</v>
      </c>
      <c r="M50">
        <v>122.4</v>
      </c>
      <c r="N50">
        <v>169.6</v>
      </c>
      <c r="O50">
        <v>163.69999999999999</v>
      </c>
      <c r="P50">
        <v>175.5</v>
      </c>
      <c r="Q50">
        <v>169.7</v>
      </c>
      <c r="R50">
        <v>192.9</v>
      </c>
      <c r="S50">
        <v>167.2</v>
      </c>
      <c r="T50">
        <v>157.4</v>
      </c>
      <c r="U50">
        <v>165.8</v>
      </c>
      <c r="V50">
        <v>164.2</v>
      </c>
      <c r="W50">
        <v>163.9</v>
      </c>
      <c r="X50">
        <v>159.30000000000001</v>
      </c>
      <c r="Y50">
        <v>169.9</v>
      </c>
      <c r="Z50">
        <v>154.80000000000001</v>
      </c>
      <c r="AA50">
        <v>159.80000000000001</v>
      </c>
      <c r="AB50">
        <v>164.3</v>
      </c>
      <c r="AC50">
        <v>162.19999999999999</v>
      </c>
      <c r="AD50">
        <v>161.4</v>
      </c>
      <c r="AE50">
        <v>166.7</v>
      </c>
      <c r="AF50">
        <v>81.52</v>
      </c>
    </row>
    <row r="51" spans="1:32" x14ac:dyDescent="0.35">
      <c r="A51" t="s">
        <v>31</v>
      </c>
      <c r="B51">
        <v>2021</v>
      </c>
      <c r="C51" t="s">
        <v>43</v>
      </c>
      <c r="D51" t="str">
        <f t="shared" si="1"/>
        <v>2021-December</v>
      </c>
      <c r="E51">
        <v>148.69999999999999</v>
      </c>
      <c r="F51">
        <v>198.8</v>
      </c>
      <c r="G51">
        <v>177.9</v>
      </c>
      <c r="H51">
        <v>159.9</v>
      </c>
      <c r="I51">
        <v>187.6</v>
      </c>
      <c r="J51">
        <v>154.9</v>
      </c>
      <c r="K51">
        <v>188.3</v>
      </c>
      <c r="L51">
        <v>164.4</v>
      </c>
      <c r="M51">
        <v>121</v>
      </c>
      <c r="N51">
        <v>170.5</v>
      </c>
      <c r="O51">
        <v>164.2</v>
      </c>
      <c r="P51">
        <v>176.5</v>
      </c>
      <c r="Q51">
        <v>168.2</v>
      </c>
      <c r="R51">
        <v>192.4</v>
      </c>
      <c r="S51">
        <v>168.5</v>
      </c>
      <c r="T51">
        <v>158.69999999999999</v>
      </c>
      <c r="U51">
        <v>167</v>
      </c>
      <c r="V51">
        <v>163.4</v>
      </c>
      <c r="W51">
        <v>164.1</v>
      </c>
      <c r="X51">
        <v>160.19999999999999</v>
      </c>
      <c r="Y51">
        <v>170.6</v>
      </c>
      <c r="Z51">
        <v>155.69999999999999</v>
      </c>
      <c r="AA51">
        <v>160.6</v>
      </c>
      <c r="AB51">
        <v>164.4</v>
      </c>
      <c r="AC51">
        <v>162.6</v>
      </c>
      <c r="AD51">
        <v>162</v>
      </c>
      <c r="AE51">
        <v>166.2</v>
      </c>
      <c r="AF51">
        <v>73.3</v>
      </c>
    </row>
    <row r="52" spans="1:32" x14ac:dyDescent="0.35">
      <c r="A52" t="s">
        <v>31</v>
      </c>
      <c r="B52">
        <v>2022</v>
      </c>
      <c r="C52" t="s">
        <v>29</v>
      </c>
      <c r="D52" t="str">
        <f t="shared" si="1"/>
        <v>2022-January</v>
      </c>
      <c r="E52">
        <v>149.5</v>
      </c>
      <c r="F52">
        <v>198.7</v>
      </c>
      <c r="G52">
        <v>178.8</v>
      </c>
      <c r="H52">
        <v>160.5</v>
      </c>
      <c r="I52">
        <v>184.7</v>
      </c>
      <c r="J52">
        <v>153.69999999999999</v>
      </c>
      <c r="K52">
        <v>174.3</v>
      </c>
      <c r="L52">
        <v>163.9</v>
      </c>
      <c r="M52">
        <v>120</v>
      </c>
      <c r="N52">
        <v>172.1</v>
      </c>
      <c r="O52">
        <v>164.3</v>
      </c>
      <c r="P52">
        <v>177.3</v>
      </c>
      <c r="Q52">
        <v>166.4</v>
      </c>
      <c r="R52">
        <v>192.2</v>
      </c>
      <c r="S52">
        <v>169.9</v>
      </c>
      <c r="T52">
        <v>160.69999999999999</v>
      </c>
      <c r="U52">
        <v>168.5</v>
      </c>
      <c r="V52">
        <v>164.5</v>
      </c>
      <c r="W52">
        <v>164.2</v>
      </c>
      <c r="X52">
        <v>161.1</v>
      </c>
      <c r="Y52">
        <v>171.4</v>
      </c>
      <c r="Z52">
        <v>156.5</v>
      </c>
      <c r="AA52">
        <v>161.19999999999999</v>
      </c>
      <c r="AB52">
        <v>164.7</v>
      </c>
      <c r="AC52">
        <v>163</v>
      </c>
      <c r="AD52">
        <v>162.69999999999999</v>
      </c>
      <c r="AE52">
        <v>165.7</v>
      </c>
      <c r="AF52">
        <v>84.67</v>
      </c>
    </row>
    <row r="53" spans="1:32" x14ac:dyDescent="0.35">
      <c r="A53" t="s">
        <v>31</v>
      </c>
      <c r="B53">
        <v>2022</v>
      </c>
      <c r="C53" t="s">
        <v>32</v>
      </c>
      <c r="D53" t="str">
        <f t="shared" si="1"/>
        <v>2022-February</v>
      </c>
      <c r="E53">
        <v>150</v>
      </c>
      <c r="F53">
        <v>200.6</v>
      </c>
      <c r="G53">
        <v>175.8</v>
      </c>
      <c r="H53">
        <v>160.69999999999999</v>
      </c>
      <c r="I53">
        <v>184.9</v>
      </c>
      <c r="J53">
        <v>153.69999999999999</v>
      </c>
      <c r="K53">
        <v>169.7</v>
      </c>
      <c r="L53">
        <v>163.69999999999999</v>
      </c>
      <c r="M53">
        <v>118.9</v>
      </c>
      <c r="N53">
        <v>174.3</v>
      </c>
      <c r="O53">
        <v>164.7</v>
      </c>
      <c r="P53">
        <v>178</v>
      </c>
      <c r="Q53">
        <v>166.2</v>
      </c>
      <c r="R53">
        <v>192.8</v>
      </c>
      <c r="S53">
        <v>170.8</v>
      </c>
      <c r="T53">
        <v>162.4</v>
      </c>
      <c r="U53">
        <v>169.6</v>
      </c>
      <c r="V53">
        <v>165.5</v>
      </c>
      <c r="W53">
        <v>165.7</v>
      </c>
      <c r="X53">
        <v>161.80000000000001</v>
      </c>
      <c r="Y53">
        <v>172.2</v>
      </c>
      <c r="Z53">
        <v>156.9</v>
      </c>
      <c r="AA53">
        <v>162.1</v>
      </c>
      <c r="AB53">
        <v>165.4</v>
      </c>
      <c r="AC53">
        <v>164.4</v>
      </c>
      <c r="AD53">
        <v>163.5</v>
      </c>
      <c r="AE53">
        <v>166.1</v>
      </c>
      <c r="AF53">
        <v>94.07</v>
      </c>
    </row>
    <row r="54" spans="1:32" x14ac:dyDescent="0.35">
      <c r="A54" t="s">
        <v>31</v>
      </c>
      <c r="B54">
        <v>2022</v>
      </c>
      <c r="C54" t="s">
        <v>33</v>
      </c>
      <c r="D54" t="str">
        <f t="shared" si="1"/>
        <v>2022-March</v>
      </c>
      <c r="E54">
        <v>151.30000000000001</v>
      </c>
      <c r="F54">
        <v>210.7</v>
      </c>
      <c r="G54">
        <v>167.8</v>
      </c>
      <c r="H54">
        <v>162.19999999999999</v>
      </c>
      <c r="I54">
        <v>194.6</v>
      </c>
      <c r="J54">
        <v>157.6</v>
      </c>
      <c r="K54">
        <v>166.9</v>
      </c>
      <c r="L54">
        <v>163.9</v>
      </c>
      <c r="M54">
        <v>118.8</v>
      </c>
      <c r="N54">
        <v>177.4</v>
      </c>
      <c r="O54">
        <v>165.3</v>
      </c>
      <c r="P54">
        <v>179.3</v>
      </c>
      <c r="Q54">
        <v>168.4</v>
      </c>
      <c r="R54">
        <v>193.7</v>
      </c>
      <c r="S54">
        <v>172.1</v>
      </c>
      <c r="T54">
        <v>164.6</v>
      </c>
      <c r="U54">
        <v>171.1</v>
      </c>
      <c r="V54">
        <v>165.3</v>
      </c>
      <c r="W54">
        <v>167.2</v>
      </c>
      <c r="X54">
        <v>162.80000000000001</v>
      </c>
      <c r="Y54">
        <v>173</v>
      </c>
      <c r="Z54">
        <v>157.9</v>
      </c>
      <c r="AA54">
        <v>163.30000000000001</v>
      </c>
      <c r="AB54">
        <v>166</v>
      </c>
      <c r="AC54">
        <v>167.2</v>
      </c>
      <c r="AD54">
        <v>164.6</v>
      </c>
      <c r="AE54">
        <v>167.7</v>
      </c>
      <c r="AF54">
        <v>112.87</v>
      </c>
    </row>
    <row r="55" spans="1:32" x14ac:dyDescent="0.35">
      <c r="A55" t="s">
        <v>31</v>
      </c>
      <c r="B55">
        <v>2022</v>
      </c>
      <c r="C55" t="s">
        <v>34</v>
      </c>
      <c r="D55" t="str">
        <f t="shared" si="1"/>
        <v>2022-April</v>
      </c>
      <c r="E55">
        <v>152.9</v>
      </c>
      <c r="F55">
        <v>211.8</v>
      </c>
      <c r="G55">
        <v>164.5</v>
      </c>
      <c r="H55">
        <v>163.9</v>
      </c>
      <c r="I55">
        <v>199.5</v>
      </c>
      <c r="J55">
        <v>172.6</v>
      </c>
      <c r="K55">
        <v>166.2</v>
      </c>
      <c r="L55">
        <v>164.7</v>
      </c>
      <c r="M55">
        <v>119</v>
      </c>
      <c r="N55">
        <v>181.3</v>
      </c>
      <c r="O55">
        <v>166.2</v>
      </c>
      <c r="P55">
        <v>180.9</v>
      </c>
      <c r="Q55">
        <v>170.8</v>
      </c>
      <c r="R55">
        <v>193.9</v>
      </c>
      <c r="S55">
        <v>173.9</v>
      </c>
      <c r="T55">
        <v>166.5</v>
      </c>
      <c r="U55">
        <v>172.8</v>
      </c>
      <c r="V55">
        <v>167</v>
      </c>
      <c r="W55">
        <v>172.2</v>
      </c>
      <c r="X55">
        <v>164</v>
      </c>
      <c r="Y55">
        <v>174</v>
      </c>
      <c r="Z55">
        <v>162.6</v>
      </c>
      <c r="AA55">
        <v>164.4</v>
      </c>
      <c r="AB55">
        <v>166.9</v>
      </c>
      <c r="AC55">
        <v>168.8</v>
      </c>
      <c r="AD55">
        <v>166.8</v>
      </c>
      <c r="AE55">
        <v>170.1</v>
      </c>
      <c r="AF55">
        <v>103.46</v>
      </c>
    </row>
    <row r="56" spans="1:32" x14ac:dyDescent="0.35">
      <c r="A56" t="s">
        <v>31</v>
      </c>
      <c r="B56">
        <v>2022</v>
      </c>
      <c r="C56" t="s">
        <v>35</v>
      </c>
      <c r="D56" t="str">
        <f t="shared" si="1"/>
        <v>2022-May</v>
      </c>
      <c r="E56">
        <v>154.1</v>
      </c>
      <c r="F56">
        <v>217</v>
      </c>
      <c r="G56">
        <v>162.4</v>
      </c>
      <c r="H56">
        <v>164.9</v>
      </c>
      <c r="I56">
        <v>202.4</v>
      </c>
      <c r="J56">
        <v>171</v>
      </c>
      <c r="K56">
        <v>174.9</v>
      </c>
      <c r="L56">
        <v>164.7</v>
      </c>
      <c r="M56">
        <v>119.7</v>
      </c>
      <c r="N56">
        <v>184.9</v>
      </c>
      <c r="O56">
        <v>167.1</v>
      </c>
      <c r="P56">
        <v>182.5</v>
      </c>
      <c r="Q56">
        <v>173.3</v>
      </c>
      <c r="R56">
        <v>194.1</v>
      </c>
      <c r="S56">
        <v>175.6</v>
      </c>
      <c r="T56">
        <v>168.4</v>
      </c>
      <c r="U56">
        <v>174.6</v>
      </c>
      <c r="V56">
        <v>167.5</v>
      </c>
      <c r="W56">
        <v>174.6</v>
      </c>
      <c r="X56">
        <v>165.2</v>
      </c>
      <c r="Y56">
        <v>174.8</v>
      </c>
      <c r="Z56">
        <v>163</v>
      </c>
      <c r="AA56">
        <v>165.1</v>
      </c>
      <c r="AB56">
        <v>167.9</v>
      </c>
      <c r="AC56">
        <v>168.4</v>
      </c>
      <c r="AD56">
        <v>167.5</v>
      </c>
      <c r="AE56">
        <v>171.7</v>
      </c>
      <c r="AF56">
        <v>109.51</v>
      </c>
    </row>
    <row r="57" spans="1:32" x14ac:dyDescent="0.35">
      <c r="A57" t="s">
        <v>31</v>
      </c>
      <c r="B57">
        <v>2022</v>
      </c>
      <c r="C57" t="s">
        <v>36</v>
      </c>
      <c r="D57" t="str">
        <f t="shared" si="1"/>
        <v>2022-June</v>
      </c>
      <c r="E57">
        <v>155</v>
      </c>
      <c r="F57">
        <v>219.4</v>
      </c>
      <c r="G57">
        <v>170.8</v>
      </c>
      <c r="H57">
        <v>165.8</v>
      </c>
      <c r="I57">
        <v>200.9</v>
      </c>
      <c r="J57">
        <v>169.7</v>
      </c>
      <c r="K57">
        <v>182.3</v>
      </c>
      <c r="L57">
        <v>164.3</v>
      </c>
      <c r="M57">
        <v>119.9</v>
      </c>
      <c r="N57">
        <v>187.1</v>
      </c>
      <c r="O57">
        <v>167.9</v>
      </c>
      <c r="P57">
        <v>183.9</v>
      </c>
      <c r="Q57">
        <v>174.9</v>
      </c>
      <c r="R57">
        <v>194.3</v>
      </c>
      <c r="S57">
        <v>177.1</v>
      </c>
      <c r="T57">
        <v>169.9</v>
      </c>
      <c r="U57">
        <v>176</v>
      </c>
      <c r="V57">
        <v>166.8</v>
      </c>
      <c r="W57">
        <v>176</v>
      </c>
      <c r="X57">
        <v>166.4</v>
      </c>
      <c r="Y57">
        <v>175.4</v>
      </c>
      <c r="Z57">
        <v>161.1</v>
      </c>
      <c r="AA57">
        <v>165.8</v>
      </c>
      <c r="AB57">
        <v>169</v>
      </c>
      <c r="AC57">
        <v>169.4</v>
      </c>
      <c r="AD57">
        <v>167.5</v>
      </c>
      <c r="AE57">
        <v>172.6</v>
      </c>
      <c r="AF57">
        <v>116.01</v>
      </c>
    </row>
    <row r="58" spans="1:32" x14ac:dyDescent="0.35">
      <c r="A58" t="s">
        <v>31</v>
      </c>
      <c r="B58">
        <v>2022</v>
      </c>
      <c r="C58" t="s">
        <v>37</v>
      </c>
      <c r="D58" t="str">
        <f t="shared" si="1"/>
        <v>2022-July</v>
      </c>
      <c r="E58">
        <v>156.5</v>
      </c>
      <c r="F58">
        <v>213</v>
      </c>
      <c r="G58">
        <v>175.2</v>
      </c>
      <c r="H58">
        <v>166.6</v>
      </c>
      <c r="I58">
        <v>195.8</v>
      </c>
      <c r="J58">
        <v>174.2</v>
      </c>
      <c r="K58">
        <v>182.1</v>
      </c>
      <c r="L58">
        <v>164.3</v>
      </c>
      <c r="M58">
        <v>120</v>
      </c>
      <c r="N58">
        <v>190</v>
      </c>
      <c r="O58">
        <v>168.4</v>
      </c>
      <c r="P58">
        <v>185.2</v>
      </c>
      <c r="Q58">
        <v>175</v>
      </c>
      <c r="R58">
        <v>194.6</v>
      </c>
      <c r="S58">
        <v>178.3</v>
      </c>
      <c r="T58">
        <v>171.3</v>
      </c>
      <c r="U58">
        <v>177.3</v>
      </c>
      <c r="V58">
        <v>167.8</v>
      </c>
      <c r="W58">
        <v>179.6</v>
      </c>
      <c r="X58">
        <v>167.4</v>
      </c>
      <c r="Y58">
        <v>176.1</v>
      </c>
      <c r="Z58">
        <v>161.6</v>
      </c>
      <c r="AA58">
        <v>166.3</v>
      </c>
      <c r="AB58">
        <v>171.4</v>
      </c>
      <c r="AC58">
        <v>169.7</v>
      </c>
      <c r="AD58">
        <v>168.4</v>
      </c>
      <c r="AE58">
        <v>173.4</v>
      </c>
      <c r="AF58">
        <v>105.49</v>
      </c>
    </row>
    <row r="59" spans="1:32" x14ac:dyDescent="0.35">
      <c r="A59" t="s">
        <v>31</v>
      </c>
      <c r="B59">
        <v>2022</v>
      </c>
      <c r="C59" t="s">
        <v>38</v>
      </c>
      <c r="D59" t="str">
        <f t="shared" si="1"/>
        <v>2022-August</v>
      </c>
      <c r="E59">
        <v>160.30000000000001</v>
      </c>
      <c r="F59">
        <v>206.5</v>
      </c>
      <c r="G59">
        <v>169.2</v>
      </c>
      <c r="H59">
        <v>168.1</v>
      </c>
      <c r="I59">
        <v>192.4</v>
      </c>
      <c r="J59">
        <v>172.9</v>
      </c>
      <c r="K59">
        <v>186.7</v>
      </c>
      <c r="L59">
        <v>167.2</v>
      </c>
      <c r="M59">
        <v>120.9</v>
      </c>
      <c r="N59">
        <v>193.6</v>
      </c>
      <c r="O59">
        <v>168.8</v>
      </c>
      <c r="P59">
        <v>186.3</v>
      </c>
      <c r="Q59">
        <v>176.3</v>
      </c>
      <c r="R59">
        <v>195</v>
      </c>
      <c r="S59">
        <v>179.5</v>
      </c>
      <c r="T59">
        <v>172.7</v>
      </c>
      <c r="U59">
        <v>178.5</v>
      </c>
      <c r="V59">
        <v>169</v>
      </c>
      <c r="W59">
        <v>178.8</v>
      </c>
      <c r="X59">
        <v>168.5</v>
      </c>
      <c r="Y59">
        <v>176.8</v>
      </c>
      <c r="Z59">
        <v>161.9</v>
      </c>
      <c r="AA59">
        <v>166.9</v>
      </c>
      <c r="AB59">
        <v>172.3</v>
      </c>
      <c r="AC59">
        <v>171.2</v>
      </c>
      <c r="AD59">
        <v>169.1</v>
      </c>
      <c r="AE59">
        <v>174.3</v>
      </c>
      <c r="AF59">
        <v>97.4</v>
      </c>
    </row>
    <row r="60" spans="1:32" x14ac:dyDescent="0.35">
      <c r="A60" t="s">
        <v>31</v>
      </c>
      <c r="B60">
        <v>2022</v>
      </c>
      <c r="C60" t="s">
        <v>39</v>
      </c>
      <c r="D60" t="str">
        <f t="shared" si="1"/>
        <v>2022-September</v>
      </c>
      <c r="E60">
        <v>163.5</v>
      </c>
      <c r="F60">
        <v>209.2</v>
      </c>
      <c r="G60">
        <v>169.7</v>
      </c>
      <c r="H60">
        <v>169.7</v>
      </c>
      <c r="I60">
        <v>188.7</v>
      </c>
      <c r="J60">
        <v>165.7</v>
      </c>
      <c r="K60">
        <v>191.8</v>
      </c>
      <c r="L60">
        <v>169.1</v>
      </c>
      <c r="M60">
        <v>121.6</v>
      </c>
      <c r="N60">
        <v>197.3</v>
      </c>
      <c r="O60">
        <v>169.4</v>
      </c>
      <c r="P60">
        <v>187.4</v>
      </c>
      <c r="Q60">
        <v>177.8</v>
      </c>
      <c r="R60">
        <v>195.9</v>
      </c>
      <c r="S60">
        <v>180.9</v>
      </c>
      <c r="T60">
        <v>174.3</v>
      </c>
      <c r="U60">
        <v>179.9</v>
      </c>
      <c r="V60">
        <v>169.5</v>
      </c>
      <c r="W60">
        <v>179.5</v>
      </c>
      <c r="X60">
        <v>169.5</v>
      </c>
      <c r="Y60">
        <v>177.8</v>
      </c>
      <c r="Z60">
        <v>162.30000000000001</v>
      </c>
      <c r="AA60">
        <v>167.6</v>
      </c>
      <c r="AB60">
        <v>173.1</v>
      </c>
      <c r="AC60">
        <v>170.9</v>
      </c>
      <c r="AD60">
        <v>169.7</v>
      </c>
      <c r="AE60">
        <v>175.3</v>
      </c>
      <c r="AF60">
        <v>90.71</v>
      </c>
    </row>
    <row r="61" spans="1:32" x14ac:dyDescent="0.35">
      <c r="A61" t="s">
        <v>31</v>
      </c>
      <c r="B61">
        <v>2022</v>
      </c>
      <c r="C61" t="s">
        <v>40</v>
      </c>
      <c r="D61" t="str">
        <f t="shared" si="1"/>
        <v>2022-October</v>
      </c>
      <c r="E61">
        <v>165.2</v>
      </c>
      <c r="F61">
        <v>210.9</v>
      </c>
      <c r="G61">
        <v>170.9</v>
      </c>
      <c r="H61">
        <v>170.9</v>
      </c>
      <c r="I61">
        <v>186.5</v>
      </c>
      <c r="J61">
        <v>163.80000000000001</v>
      </c>
      <c r="K61">
        <v>199.7</v>
      </c>
      <c r="L61">
        <v>169.8</v>
      </c>
      <c r="M61">
        <v>121.9</v>
      </c>
      <c r="N61">
        <v>199.9</v>
      </c>
      <c r="O61">
        <v>169.9</v>
      </c>
      <c r="P61">
        <v>188.3</v>
      </c>
      <c r="Q61">
        <v>179.6</v>
      </c>
      <c r="R61">
        <v>196.3</v>
      </c>
      <c r="S61">
        <v>181.9</v>
      </c>
      <c r="T61">
        <v>175.3</v>
      </c>
      <c r="U61">
        <v>181</v>
      </c>
      <c r="V61">
        <v>171.2</v>
      </c>
      <c r="W61">
        <v>180.5</v>
      </c>
      <c r="X61">
        <v>170.4</v>
      </c>
      <c r="Y61">
        <v>178.7</v>
      </c>
      <c r="Z61">
        <v>162.9</v>
      </c>
      <c r="AA61">
        <v>168.2</v>
      </c>
      <c r="AB61">
        <v>173.4</v>
      </c>
      <c r="AC61">
        <v>172.1</v>
      </c>
      <c r="AD61">
        <v>170.5</v>
      </c>
      <c r="AE61">
        <v>176.7</v>
      </c>
      <c r="AF61">
        <v>93.54</v>
      </c>
    </row>
    <row r="62" spans="1:32" x14ac:dyDescent="0.35">
      <c r="A62" t="s">
        <v>31</v>
      </c>
      <c r="B62">
        <v>2022</v>
      </c>
      <c r="C62" t="s">
        <v>42</v>
      </c>
      <c r="D62" t="str">
        <f t="shared" si="1"/>
        <v>2022-November</v>
      </c>
      <c r="E62">
        <v>167.4</v>
      </c>
      <c r="F62">
        <v>209.4</v>
      </c>
      <c r="G62">
        <v>181.4</v>
      </c>
      <c r="H62">
        <v>172.3</v>
      </c>
      <c r="I62">
        <v>188.9</v>
      </c>
      <c r="J62">
        <v>160.69999999999999</v>
      </c>
      <c r="K62">
        <v>183.1</v>
      </c>
      <c r="L62">
        <v>170.5</v>
      </c>
      <c r="M62">
        <v>122.1</v>
      </c>
      <c r="N62">
        <v>202.8</v>
      </c>
      <c r="O62">
        <v>170.4</v>
      </c>
      <c r="P62">
        <v>189.5</v>
      </c>
      <c r="Q62">
        <v>178.3</v>
      </c>
      <c r="R62">
        <v>196.9</v>
      </c>
      <c r="S62">
        <v>183.1</v>
      </c>
      <c r="T62">
        <v>176.2</v>
      </c>
      <c r="U62">
        <v>182.1</v>
      </c>
      <c r="V62">
        <v>171.8</v>
      </c>
      <c r="W62">
        <v>181.3</v>
      </c>
      <c r="X62">
        <v>171.4</v>
      </c>
      <c r="Y62">
        <v>179.8</v>
      </c>
      <c r="Z62">
        <v>163</v>
      </c>
      <c r="AA62">
        <v>168.5</v>
      </c>
      <c r="AB62">
        <v>173.7</v>
      </c>
      <c r="AC62">
        <v>173.6</v>
      </c>
      <c r="AD62">
        <v>171.1</v>
      </c>
      <c r="AE62">
        <v>176.5</v>
      </c>
      <c r="AF62">
        <v>89.38</v>
      </c>
    </row>
    <row r="63" spans="1:32" x14ac:dyDescent="0.35">
      <c r="A63" t="s">
        <v>31</v>
      </c>
      <c r="B63">
        <v>2022</v>
      </c>
      <c r="C63" t="s">
        <v>43</v>
      </c>
      <c r="D63" t="str">
        <f t="shared" si="1"/>
        <v>2022-December</v>
      </c>
      <c r="E63">
        <v>169.2</v>
      </c>
      <c r="F63">
        <v>209</v>
      </c>
      <c r="G63">
        <v>190.2</v>
      </c>
      <c r="H63">
        <v>173.6</v>
      </c>
      <c r="I63">
        <v>188.5</v>
      </c>
      <c r="J63">
        <v>158</v>
      </c>
      <c r="K63">
        <v>159.9</v>
      </c>
      <c r="L63">
        <v>170.8</v>
      </c>
      <c r="M63">
        <v>121.8</v>
      </c>
      <c r="N63">
        <v>205.2</v>
      </c>
      <c r="O63">
        <v>171</v>
      </c>
      <c r="P63">
        <v>190.3</v>
      </c>
      <c r="Q63">
        <v>175.9</v>
      </c>
      <c r="R63">
        <v>197.3</v>
      </c>
      <c r="S63">
        <v>184</v>
      </c>
      <c r="T63">
        <v>177</v>
      </c>
      <c r="U63">
        <v>183</v>
      </c>
      <c r="V63">
        <v>170.7</v>
      </c>
      <c r="W63">
        <v>182</v>
      </c>
      <c r="X63">
        <v>172.1</v>
      </c>
      <c r="Y63">
        <v>181.1</v>
      </c>
      <c r="Z63">
        <v>163.4</v>
      </c>
      <c r="AA63">
        <v>168.9</v>
      </c>
      <c r="AB63">
        <v>174.1</v>
      </c>
      <c r="AC63">
        <v>175.8</v>
      </c>
      <c r="AD63">
        <v>172</v>
      </c>
      <c r="AE63">
        <v>175.7</v>
      </c>
      <c r="AF63">
        <v>78.92</v>
      </c>
    </row>
    <row r="64" spans="1:32" x14ac:dyDescent="0.35">
      <c r="A64" t="s">
        <v>31</v>
      </c>
      <c r="B64">
        <v>2023</v>
      </c>
      <c r="C64" t="s">
        <v>29</v>
      </c>
      <c r="D64" t="str">
        <f t="shared" si="1"/>
        <v>2023-January</v>
      </c>
      <c r="E64">
        <v>173.8</v>
      </c>
      <c r="F64">
        <v>210.7</v>
      </c>
      <c r="G64">
        <v>194.5</v>
      </c>
      <c r="H64">
        <v>174.6</v>
      </c>
      <c r="I64">
        <v>187.2</v>
      </c>
      <c r="J64">
        <v>158.30000000000001</v>
      </c>
      <c r="K64">
        <v>153.9</v>
      </c>
      <c r="L64">
        <v>170.9</v>
      </c>
      <c r="M64">
        <v>121.1</v>
      </c>
      <c r="N64">
        <v>208.4</v>
      </c>
      <c r="O64">
        <v>171.4</v>
      </c>
      <c r="P64">
        <v>191.2</v>
      </c>
      <c r="Q64">
        <v>176.7</v>
      </c>
      <c r="R64">
        <v>198.2</v>
      </c>
      <c r="S64">
        <v>184.9</v>
      </c>
      <c r="T64">
        <v>177.6</v>
      </c>
      <c r="U64">
        <v>183.8</v>
      </c>
      <c r="V64">
        <v>172.1</v>
      </c>
      <c r="W64">
        <v>182</v>
      </c>
      <c r="X64">
        <v>172.9</v>
      </c>
      <c r="Y64">
        <v>182.3</v>
      </c>
      <c r="Z64">
        <v>163.6</v>
      </c>
      <c r="AA64">
        <v>169.5</v>
      </c>
      <c r="AB64">
        <v>174.3</v>
      </c>
      <c r="AC64">
        <v>178.6</v>
      </c>
      <c r="AD64">
        <v>172.8</v>
      </c>
      <c r="AE64">
        <v>176.5</v>
      </c>
      <c r="AF64">
        <v>79.98</v>
      </c>
    </row>
    <row r="65" spans="1:32" x14ac:dyDescent="0.35">
      <c r="A65" t="s">
        <v>31</v>
      </c>
      <c r="B65">
        <v>2023</v>
      </c>
      <c r="C65" t="s">
        <v>32</v>
      </c>
      <c r="D65" t="str">
        <f t="shared" si="1"/>
        <v>2023-February</v>
      </c>
      <c r="E65">
        <v>174.4</v>
      </c>
      <c r="F65">
        <v>207.7</v>
      </c>
      <c r="G65">
        <v>175.2</v>
      </c>
      <c r="H65">
        <v>177.3</v>
      </c>
      <c r="I65">
        <v>179.3</v>
      </c>
      <c r="J65">
        <v>169.5</v>
      </c>
      <c r="K65">
        <v>152.69999999999999</v>
      </c>
      <c r="L65">
        <v>171</v>
      </c>
      <c r="M65">
        <v>120</v>
      </c>
      <c r="N65">
        <v>209.7</v>
      </c>
      <c r="O65">
        <v>172.3</v>
      </c>
      <c r="P65">
        <v>193</v>
      </c>
      <c r="Q65">
        <v>177</v>
      </c>
      <c r="R65">
        <v>199.5</v>
      </c>
      <c r="S65">
        <v>186.2</v>
      </c>
      <c r="T65">
        <v>178.7</v>
      </c>
      <c r="U65">
        <v>185.1</v>
      </c>
      <c r="V65">
        <v>173.5</v>
      </c>
      <c r="W65">
        <v>182.1</v>
      </c>
      <c r="X65">
        <v>174.2</v>
      </c>
      <c r="Y65">
        <v>184.4</v>
      </c>
      <c r="Z65">
        <v>164.2</v>
      </c>
      <c r="AA65">
        <v>170.3</v>
      </c>
      <c r="AB65">
        <v>175</v>
      </c>
      <c r="AC65">
        <v>181</v>
      </c>
      <c r="AD65">
        <v>174.1</v>
      </c>
      <c r="AE65">
        <v>177.2</v>
      </c>
      <c r="AF65">
        <v>82.89</v>
      </c>
    </row>
    <row r="66" spans="1:32" x14ac:dyDescent="0.35">
      <c r="A66" t="s">
        <v>31</v>
      </c>
      <c r="B66">
        <v>2023</v>
      </c>
      <c r="C66" t="s">
        <v>33</v>
      </c>
      <c r="D66" t="str">
        <f t="shared" si="1"/>
        <v>2023-March</v>
      </c>
      <c r="E66">
        <v>174.4</v>
      </c>
      <c r="F66">
        <v>207.7</v>
      </c>
      <c r="G66">
        <v>175.2</v>
      </c>
      <c r="H66">
        <v>177.3</v>
      </c>
      <c r="I66">
        <v>179.2</v>
      </c>
      <c r="J66">
        <v>169.5</v>
      </c>
      <c r="K66">
        <v>152.80000000000001</v>
      </c>
      <c r="L66">
        <v>171.1</v>
      </c>
      <c r="M66">
        <v>120</v>
      </c>
      <c r="N66">
        <v>209.7</v>
      </c>
      <c r="O66">
        <v>172.3</v>
      </c>
      <c r="P66">
        <v>193</v>
      </c>
      <c r="Q66">
        <v>177</v>
      </c>
      <c r="R66">
        <v>199.5</v>
      </c>
      <c r="S66">
        <v>186.1</v>
      </c>
      <c r="T66">
        <v>178.7</v>
      </c>
      <c r="U66">
        <v>185.1</v>
      </c>
      <c r="V66">
        <v>173.5</v>
      </c>
      <c r="W66">
        <v>181.9</v>
      </c>
      <c r="X66">
        <v>174.2</v>
      </c>
      <c r="Y66">
        <v>184.4</v>
      </c>
      <c r="Z66">
        <v>164.2</v>
      </c>
      <c r="AA66">
        <v>170.3</v>
      </c>
      <c r="AB66">
        <v>175</v>
      </c>
      <c r="AC66">
        <v>181</v>
      </c>
      <c r="AD66">
        <v>174.1</v>
      </c>
      <c r="AE66">
        <v>177.2</v>
      </c>
      <c r="AF66">
        <v>77.83</v>
      </c>
    </row>
    <row r="67" spans="1:32" x14ac:dyDescent="0.35">
      <c r="A67" t="s">
        <v>31</v>
      </c>
      <c r="B67">
        <v>2023</v>
      </c>
      <c r="C67" t="s">
        <v>34</v>
      </c>
      <c r="D67" t="str">
        <f t="shared" si="1"/>
        <v>2023-April</v>
      </c>
      <c r="E67">
        <v>173.8</v>
      </c>
      <c r="F67">
        <v>209.3</v>
      </c>
      <c r="G67">
        <v>169.6</v>
      </c>
      <c r="H67">
        <v>178.4</v>
      </c>
      <c r="I67">
        <v>174.9</v>
      </c>
      <c r="J67">
        <v>176.3</v>
      </c>
      <c r="K67">
        <v>155.4</v>
      </c>
      <c r="L67">
        <v>173.4</v>
      </c>
      <c r="M67">
        <v>121.3</v>
      </c>
      <c r="N67">
        <v>212.9</v>
      </c>
      <c r="O67">
        <v>172.9</v>
      </c>
      <c r="P67">
        <v>193.5</v>
      </c>
      <c r="Q67">
        <v>177.9</v>
      </c>
      <c r="R67">
        <v>200.6</v>
      </c>
      <c r="S67">
        <v>186.9</v>
      </c>
      <c r="T67">
        <v>179.2</v>
      </c>
      <c r="U67">
        <v>185.7</v>
      </c>
      <c r="V67">
        <v>175.2</v>
      </c>
      <c r="W67">
        <v>181.7</v>
      </c>
      <c r="X67">
        <v>174.6</v>
      </c>
      <c r="Y67">
        <v>185</v>
      </c>
      <c r="Z67">
        <v>164.5</v>
      </c>
      <c r="AA67">
        <v>170.7</v>
      </c>
      <c r="AB67">
        <v>176.4</v>
      </c>
      <c r="AC67">
        <v>184</v>
      </c>
      <c r="AD67">
        <v>175</v>
      </c>
      <c r="AE67">
        <v>178.1</v>
      </c>
      <c r="AF67">
        <v>84.42</v>
      </c>
    </row>
    <row r="68" spans="1:32" x14ac:dyDescent="0.35">
      <c r="A68" t="s">
        <v>31</v>
      </c>
      <c r="B68">
        <v>2023</v>
      </c>
      <c r="C68" t="s">
        <v>35</v>
      </c>
      <c r="D68" t="str">
        <f t="shared" si="1"/>
        <v>2023-May</v>
      </c>
      <c r="E68">
        <v>173.7</v>
      </c>
      <c r="F68">
        <v>214.3</v>
      </c>
      <c r="G68">
        <v>173.2</v>
      </c>
      <c r="H68">
        <v>179.5</v>
      </c>
      <c r="I68">
        <v>170</v>
      </c>
      <c r="J68">
        <v>172.2</v>
      </c>
      <c r="K68">
        <v>161</v>
      </c>
      <c r="L68">
        <v>175.6</v>
      </c>
      <c r="M68">
        <v>122.7</v>
      </c>
      <c r="N68">
        <v>218</v>
      </c>
      <c r="O68">
        <v>173.4</v>
      </c>
      <c r="P68">
        <v>194.2</v>
      </c>
      <c r="Q68">
        <v>179.1</v>
      </c>
      <c r="R68">
        <v>201</v>
      </c>
      <c r="S68">
        <v>187.3</v>
      </c>
      <c r="T68">
        <v>179.7</v>
      </c>
      <c r="U68">
        <v>186.2</v>
      </c>
      <c r="V68">
        <v>175.6</v>
      </c>
      <c r="W68">
        <v>182.8</v>
      </c>
      <c r="X68">
        <v>175.2</v>
      </c>
      <c r="Y68">
        <v>185.7</v>
      </c>
      <c r="Z68">
        <v>164.8</v>
      </c>
      <c r="AA68">
        <v>171.2</v>
      </c>
      <c r="AB68">
        <v>177.1</v>
      </c>
      <c r="AC68">
        <v>185.2</v>
      </c>
      <c r="AD68">
        <v>175.7</v>
      </c>
      <c r="AE68">
        <v>179.1</v>
      </c>
      <c r="AF68">
        <v>76.25</v>
      </c>
    </row>
    <row r="71" spans="1:32" x14ac:dyDescent="0.35">
      <c r="A71" s="6" t="s">
        <v>112</v>
      </c>
      <c r="B71" s="6" t="s">
        <v>54</v>
      </c>
    </row>
    <row r="72" spans="1:32" x14ac:dyDescent="0.35">
      <c r="A72" s="12" t="s">
        <v>3</v>
      </c>
      <c r="B72" s="3">
        <f>CORREL(E40:E68,AF40:AF68)</f>
        <v>0.27409670497128702</v>
      </c>
    </row>
    <row r="73" spans="1:32" x14ac:dyDescent="0.35">
      <c r="A73" s="12" t="s">
        <v>4</v>
      </c>
      <c r="B73" s="3">
        <f>CORREL(F40:F68,AF40:AF68)</f>
        <v>0.77222949599737833</v>
      </c>
    </row>
    <row r="74" spans="1:32" x14ac:dyDescent="0.35">
      <c r="A74" s="12" t="s">
        <v>5</v>
      </c>
      <c r="B74" s="3">
        <f>CORREL(G40:G68,AF40:AF68)</f>
        <v>-0.18310637349596856</v>
      </c>
    </row>
    <row r="75" spans="1:32" x14ac:dyDescent="0.35">
      <c r="A75" s="12" t="s">
        <v>6</v>
      </c>
      <c r="B75" s="3">
        <f>CORREL(H40:H68,AF40:AF68)</f>
        <v>0.37049052424856355</v>
      </c>
    </row>
    <row r="76" spans="1:32" x14ac:dyDescent="0.35">
      <c r="A76" s="12" t="s">
        <v>7</v>
      </c>
      <c r="B76" s="3">
        <f>CORREL(I40:I68,AF40:AF68)</f>
        <v>0.80658718039858224</v>
      </c>
    </row>
    <row r="77" spans="1:32" x14ac:dyDescent="0.35">
      <c r="A77" s="12" t="s">
        <v>8</v>
      </c>
      <c r="B77" s="3">
        <f>CORREL(J40:J68,AF40:AF68)</f>
        <v>0.48234094901859309</v>
      </c>
    </row>
    <row r="78" spans="1:32" x14ac:dyDescent="0.35">
      <c r="A78" s="12" t="s">
        <v>9</v>
      </c>
      <c r="B78" s="3">
        <f>CORREL(K40:K68,AF40:AF68)</f>
        <v>0.35581113005155118</v>
      </c>
    </row>
    <row r="79" spans="1:32" x14ac:dyDescent="0.35">
      <c r="A79" s="12" t="s">
        <v>10</v>
      </c>
      <c r="B79" s="3">
        <f>CORREL(L40:L68,AF40:AF68)</f>
        <v>0.19787360407721799</v>
      </c>
    </row>
    <row r="80" spans="1:32" x14ac:dyDescent="0.35">
      <c r="A80" s="12" t="s">
        <v>11</v>
      </c>
      <c r="B80" s="3">
        <f>CORREL(M40:M68,AF40:AF68)</f>
        <v>0.51657079570880005</v>
      </c>
    </row>
    <row r="81" spans="1:10" x14ac:dyDescent="0.35">
      <c r="A81" s="12" t="s">
        <v>12</v>
      </c>
      <c r="B81" s="3">
        <f>CORREL(N40:N68,AF40:AF68)</f>
        <v>0.35477097919115397</v>
      </c>
    </row>
    <row r="82" spans="1:10" x14ac:dyDescent="0.35">
      <c r="A82" s="12" t="s">
        <v>13</v>
      </c>
      <c r="B82" s="3">
        <f>CORREL(O40:O68,AF40:AF68)</f>
        <v>0.56884381641242887</v>
      </c>
    </row>
    <row r="83" spans="1:10" x14ac:dyDescent="0.35">
      <c r="A83" s="12" t="s">
        <v>110</v>
      </c>
      <c r="B83" s="3">
        <f>CORREL(P40:P68,AF40:AF68)</f>
        <v>0.49961929532216509</v>
      </c>
    </row>
    <row r="84" spans="1:10" x14ac:dyDescent="0.35">
      <c r="A84" s="12" t="s">
        <v>14</v>
      </c>
      <c r="B84" s="3">
        <f>CORREL(Q40:Q68,AF40:AF68)</f>
        <v>0.59350350227285387</v>
      </c>
    </row>
    <row r="85" spans="1:10" x14ac:dyDescent="0.35">
      <c r="A85" s="12" t="s">
        <v>15</v>
      </c>
      <c r="B85" s="3">
        <f>CORREL(R40:R68,AF40:AF68)</f>
        <v>0.41479253007568212</v>
      </c>
    </row>
    <row r="86" spans="1:10" x14ac:dyDescent="0.35">
      <c r="A86" s="12" t="s">
        <v>16</v>
      </c>
      <c r="B86" s="3">
        <f>CORREL(S40:S68,AF40:AF68)</f>
        <v>0.53587795477573497</v>
      </c>
    </row>
    <row r="87" spans="1:10" x14ac:dyDescent="0.35">
      <c r="A87" s="12" t="s">
        <v>17</v>
      </c>
      <c r="B87" s="3">
        <f>CORREL(T40:T68,AF40:AF68)</f>
        <v>0.56314566874664573</v>
      </c>
    </row>
    <row r="88" spans="1:10" x14ac:dyDescent="0.35">
      <c r="A88" s="12" t="s">
        <v>18</v>
      </c>
      <c r="B88" s="3">
        <f>CORREL(U40:U68,AF40:AF68)</f>
        <v>0.54043607534632621</v>
      </c>
    </row>
    <row r="89" spans="1:10" x14ac:dyDescent="0.35">
      <c r="A89" s="12" t="s">
        <v>19</v>
      </c>
      <c r="B89" s="3">
        <f>CORREL(V40:V68,AF40:AF68)</f>
        <v>0.44622434794063076</v>
      </c>
    </row>
    <row r="90" spans="1:10" x14ac:dyDescent="0.35">
      <c r="A90" s="12" t="s">
        <v>20</v>
      </c>
      <c r="B90" s="3">
        <f>CORREL(W40:W68,AF40:AF68)</f>
        <v>0.58495753021404218</v>
      </c>
    </row>
    <row r="91" spans="1:10" x14ac:dyDescent="0.35">
      <c r="A91" s="12" t="s">
        <v>21</v>
      </c>
      <c r="B91" s="3">
        <f>CORREL(X40:X68,AF40:AF68)</f>
        <v>0.52209387745299818</v>
      </c>
      <c r="D91" s="46" t="s">
        <v>148</v>
      </c>
      <c r="E91" s="46"/>
      <c r="F91" s="46"/>
      <c r="G91" s="46"/>
      <c r="H91" s="46"/>
      <c r="I91" s="46"/>
      <c r="J91" s="46"/>
    </row>
    <row r="92" spans="1:10" x14ac:dyDescent="0.35">
      <c r="A92" s="12" t="s">
        <v>22</v>
      </c>
      <c r="B92" s="3">
        <f>CORREL(Y40:Y68,AF40:AF68)</f>
        <v>0.49187525591200187</v>
      </c>
      <c r="D92" s="46"/>
      <c r="E92" s="46"/>
      <c r="F92" s="46"/>
      <c r="G92" s="46"/>
      <c r="H92" s="46"/>
      <c r="I92" s="46"/>
      <c r="J92" s="46"/>
    </row>
    <row r="93" spans="1:10" x14ac:dyDescent="0.35">
      <c r="A93" s="12" t="s">
        <v>23</v>
      </c>
      <c r="B93" s="3">
        <f>CORREL(Z40:Z68,AF40:AF68)</f>
        <v>0.67975100740010441</v>
      </c>
      <c r="D93" s="46"/>
      <c r="E93" s="46"/>
      <c r="F93" s="46"/>
      <c r="G93" s="46"/>
      <c r="H93" s="46"/>
      <c r="I93" s="46"/>
      <c r="J93" s="46"/>
    </row>
    <row r="94" spans="1:10" x14ac:dyDescent="0.35">
      <c r="A94" s="12" t="s">
        <v>24</v>
      </c>
      <c r="B94" s="3">
        <f>CORREL(AA40:AA68,AF40:AF68)</f>
        <v>0.6047566061142553</v>
      </c>
    </row>
    <row r="95" spans="1:10" x14ac:dyDescent="0.35">
      <c r="A95" s="12" t="s">
        <v>25</v>
      </c>
      <c r="B95" s="3">
        <f>CORREL(AB40:AB68,AF40:AF68)</f>
        <v>0.45502547138458282</v>
      </c>
    </row>
    <row r="96" spans="1:10" x14ac:dyDescent="0.35">
      <c r="A96" s="12" t="s">
        <v>111</v>
      </c>
      <c r="B96" s="3">
        <f>CORREL(AC40:AC68,AF40:AF68)</f>
        <v>0.41401587382929339</v>
      </c>
    </row>
    <row r="97" spans="1:2" x14ac:dyDescent="0.35">
      <c r="A97" s="12" t="s">
        <v>26</v>
      </c>
      <c r="B97" s="3">
        <f>CORREL(AD40:AD68,AF40:AF68)</f>
        <v>0.54918188209165064</v>
      </c>
    </row>
    <row r="98" spans="1:2" x14ac:dyDescent="0.35">
      <c r="A98" s="12" t="s">
        <v>27</v>
      </c>
      <c r="B98" s="3">
        <f>CORREL(AE40:AE68,AF40:AF68)</f>
        <v>0.57009464242211494</v>
      </c>
    </row>
  </sheetData>
  <mergeCells count="1">
    <mergeCell ref="D91:J9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F7AF-955A-421B-AC5A-46FAD58E5A89}">
  <dimension ref="A1:S149"/>
  <sheetViews>
    <sheetView topLeftCell="A121" workbookViewId="0">
      <selection activeCell="K80" sqref="K80"/>
    </sheetView>
  </sheetViews>
  <sheetFormatPr defaultRowHeight="14.5" x14ac:dyDescent="0.35"/>
  <sheetData>
    <row r="1" spans="1:18" ht="26" x14ac:dyDescent="0.6">
      <c r="A1" s="40" t="s">
        <v>136</v>
      </c>
    </row>
    <row r="3" spans="1:18" x14ac:dyDescent="0.35">
      <c r="L3" s="47" t="s">
        <v>143</v>
      </c>
      <c r="M3" s="47"/>
      <c r="N3" s="47"/>
      <c r="O3" s="47"/>
      <c r="P3" s="47"/>
      <c r="Q3" s="47"/>
      <c r="R3" s="47"/>
    </row>
    <row r="4" spans="1:18" x14ac:dyDescent="0.35">
      <c r="L4" s="47"/>
      <c r="M4" s="47"/>
      <c r="N4" s="47"/>
      <c r="O4" s="47"/>
      <c r="P4" s="47"/>
      <c r="Q4" s="47"/>
      <c r="R4" s="47"/>
    </row>
    <row r="5" spans="1:18" x14ac:dyDescent="0.35">
      <c r="L5" s="47"/>
      <c r="M5" s="47"/>
      <c r="N5" s="47"/>
      <c r="O5" s="47"/>
      <c r="P5" s="47"/>
      <c r="Q5" s="47"/>
      <c r="R5" s="47"/>
    </row>
    <row r="6" spans="1:18" x14ac:dyDescent="0.35">
      <c r="L6" s="47"/>
      <c r="M6" s="47"/>
      <c r="N6" s="47"/>
      <c r="O6" s="47"/>
      <c r="P6" s="47"/>
      <c r="Q6" s="47"/>
      <c r="R6" s="47"/>
    </row>
    <row r="7" spans="1:18" x14ac:dyDescent="0.35">
      <c r="L7" s="47"/>
      <c r="M7" s="47"/>
      <c r="N7" s="47"/>
      <c r="O7" s="47"/>
      <c r="P7" s="47"/>
      <c r="Q7" s="47"/>
      <c r="R7" s="47"/>
    </row>
    <row r="8" spans="1:18" x14ac:dyDescent="0.35">
      <c r="L8" s="47"/>
      <c r="M8" s="47"/>
      <c r="N8" s="47"/>
      <c r="O8" s="47"/>
      <c r="P8" s="47"/>
      <c r="Q8" s="47"/>
      <c r="R8" s="47"/>
    </row>
    <row r="9" spans="1:18" x14ac:dyDescent="0.35">
      <c r="L9" s="47"/>
      <c r="M9" s="47"/>
      <c r="N9" s="47"/>
      <c r="O9" s="47"/>
      <c r="P9" s="47"/>
      <c r="Q9" s="47"/>
      <c r="R9" s="47"/>
    </row>
    <row r="10" spans="1:18" x14ac:dyDescent="0.35">
      <c r="L10" s="47"/>
      <c r="M10" s="47"/>
      <c r="N10" s="47"/>
      <c r="O10" s="47"/>
      <c r="P10" s="47"/>
      <c r="Q10" s="47"/>
      <c r="R10" s="47"/>
    </row>
    <row r="11" spans="1:18" x14ac:dyDescent="0.35">
      <c r="L11" s="47"/>
      <c r="M11" s="47"/>
      <c r="N11" s="47"/>
      <c r="O11" s="47"/>
      <c r="P11" s="47"/>
      <c r="Q11" s="47"/>
      <c r="R11" s="47"/>
    </row>
    <row r="12" spans="1:18" x14ac:dyDescent="0.35">
      <c r="L12" s="47"/>
      <c r="M12" s="47"/>
      <c r="N12" s="47"/>
      <c r="O12" s="47"/>
      <c r="P12" s="47"/>
      <c r="Q12" s="47"/>
      <c r="R12" s="47"/>
    </row>
    <row r="13" spans="1:18" x14ac:dyDescent="0.35">
      <c r="L13" s="47"/>
      <c r="M13" s="47"/>
      <c r="N13" s="47"/>
      <c r="O13" s="47"/>
      <c r="P13" s="47"/>
      <c r="Q13" s="47"/>
      <c r="R13" s="47"/>
    </row>
    <row r="14" spans="1:18" x14ac:dyDescent="0.35">
      <c r="L14" s="47"/>
      <c r="M14" s="47"/>
      <c r="N14" s="47"/>
      <c r="O14" s="47"/>
      <c r="P14" s="47"/>
      <c r="Q14" s="47"/>
      <c r="R14" s="47"/>
    </row>
    <row r="25" spans="1:18" ht="26" x14ac:dyDescent="0.6">
      <c r="A25" s="40" t="s">
        <v>137</v>
      </c>
    </row>
    <row r="27" spans="1:18" x14ac:dyDescent="0.35">
      <c r="L27" s="48" t="s">
        <v>144</v>
      </c>
      <c r="M27" s="49"/>
      <c r="N27" s="49"/>
      <c r="O27" s="49"/>
      <c r="P27" s="49"/>
      <c r="Q27" s="49"/>
      <c r="R27" s="49"/>
    </row>
    <row r="28" spans="1:18" x14ac:dyDescent="0.35">
      <c r="L28" s="49"/>
      <c r="M28" s="49"/>
      <c r="N28" s="49"/>
      <c r="O28" s="49"/>
      <c r="P28" s="49"/>
      <c r="Q28" s="49"/>
      <c r="R28" s="49"/>
    </row>
    <row r="29" spans="1:18" x14ac:dyDescent="0.35">
      <c r="L29" s="49"/>
      <c r="M29" s="49"/>
      <c r="N29" s="49"/>
      <c r="O29" s="49"/>
      <c r="P29" s="49"/>
      <c r="Q29" s="49"/>
      <c r="R29" s="49"/>
    </row>
    <row r="30" spans="1:18" x14ac:dyDescent="0.35">
      <c r="L30" s="49"/>
      <c r="M30" s="49"/>
      <c r="N30" s="49"/>
      <c r="O30" s="49"/>
      <c r="P30" s="49"/>
      <c r="Q30" s="49"/>
      <c r="R30" s="49"/>
    </row>
    <row r="31" spans="1:18" x14ac:dyDescent="0.35">
      <c r="L31" s="49"/>
      <c r="M31" s="49"/>
      <c r="N31" s="49"/>
      <c r="O31" s="49"/>
      <c r="P31" s="49"/>
      <c r="Q31" s="49"/>
      <c r="R31" s="49"/>
    </row>
    <row r="32" spans="1:18" x14ac:dyDescent="0.35">
      <c r="L32" s="49"/>
      <c r="M32" s="49"/>
      <c r="N32" s="49"/>
      <c r="O32" s="49"/>
      <c r="P32" s="49"/>
      <c r="Q32" s="49"/>
      <c r="R32" s="49"/>
    </row>
    <row r="33" spans="1:18" x14ac:dyDescent="0.35">
      <c r="L33" s="49"/>
      <c r="M33" s="49"/>
      <c r="N33" s="49"/>
      <c r="O33" s="49"/>
      <c r="P33" s="49"/>
      <c r="Q33" s="49"/>
      <c r="R33" s="49"/>
    </row>
    <row r="34" spans="1:18" x14ac:dyDescent="0.35">
      <c r="L34" s="49"/>
      <c r="M34" s="49"/>
      <c r="N34" s="49"/>
      <c r="O34" s="49"/>
      <c r="P34" s="49"/>
      <c r="Q34" s="49"/>
      <c r="R34" s="49"/>
    </row>
    <row r="35" spans="1:18" x14ac:dyDescent="0.35">
      <c r="L35" s="49"/>
      <c r="M35" s="49"/>
      <c r="N35" s="49"/>
      <c r="O35" s="49"/>
      <c r="P35" s="49"/>
      <c r="Q35" s="49"/>
      <c r="R35" s="49"/>
    </row>
    <row r="36" spans="1:18" x14ac:dyDescent="0.35">
      <c r="L36" s="49"/>
      <c r="M36" s="49"/>
      <c r="N36" s="49"/>
      <c r="O36" s="49"/>
      <c r="P36" s="49"/>
      <c r="Q36" s="49"/>
      <c r="R36" s="49"/>
    </row>
    <row r="37" spans="1:18" x14ac:dyDescent="0.35">
      <c r="L37" s="49"/>
      <c r="M37" s="49"/>
      <c r="N37" s="49"/>
      <c r="O37" s="49"/>
      <c r="P37" s="49"/>
      <c r="Q37" s="49"/>
      <c r="R37" s="49"/>
    </row>
    <row r="38" spans="1:18" x14ac:dyDescent="0.35">
      <c r="L38" s="49"/>
      <c r="M38" s="49"/>
      <c r="N38" s="49"/>
      <c r="O38" s="49"/>
      <c r="P38" s="49"/>
      <c r="Q38" s="49"/>
      <c r="R38" s="49"/>
    </row>
    <row r="44" spans="1:18" ht="26" x14ac:dyDescent="0.6">
      <c r="A44" s="40" t="s">
        <v>138</v>
      </c>
    </row>
    <row r="46" spans="1:18" x14ac:dyDescent="0.35">
      <c r="L46" s="50" t="s">
        <v>145</v>
      </c>
      <c r="M46" s="51"/>
      <c r="N46" s="51"/>
      <c r="O46" s="51"/>
      <c r="P46" s="51"/>
      <c r="Q46" s="51"/>
      <c r="R46" s="51"/>
    </row>
    <row r="47" spans="1:18" x14ac:dyDescent="0.35">
      <c r="L47" s="51"/>
      <c r="M47" s="51"/>
      <c r="N47" s="51"/>
      <c r="O47" s="51"/>
      <c r="P47" s="51"/>
      <c r="Q47" s="51"/>
      <c r="R47" s="51"/>
    </row>
    <row r="48" spans="1:18" x14ac:dyDescent="0.35">
      <c r="L48" s="51"/>
      <c r="M48" s="51"/>
      <c r="N48" s="51"/>
      <c r="O48" s="51"/>
      <c r="P48" s="51"/>
      <c r="Q48" s="51"/>
      <c r="R48" s="51"/>
    </row>
    <row r="49" spans="1:18" x14ac:dyDescent="0.35">
      <c r="L49" s="51"/>
      <c r="M49" s="51"/>
      <c r="N49" s="51"/>
      <c r="O49" s="51"/>
      <c r="P49" s="51"/>
      <c r="Q49" s="51"/>
      <c r="R49" s="51"/>
    </row>
    <row r="50" spans="1:18" x14ac:dyDescent="0.35">
      <c r="L50" s="51"/>
      <c r="M50" s="51"/>
      <c r="N50" s="51"/>
      <c r="O50" s="51"/>
      <c r="P50" s="51"/>
      <c r="Q50" s="51"/>
      <c r="R50" s="51"/>
    </row>
    <row r="51" spans="1:18" x14ac:dyDescent="0.35">
      <c r="L51" s="51"/>
      <c r="M51" s="51"/>
      <c r="N51" s="51"/>
      <c r="O51" s="51"/>
      <c r="P51" s="51"/>
      <c r="Q51" s="51"/>
      <c r="R51" s="51"/>
    </row>
    <row r="52" spans="1:18" x14ac:dyDescent="0.35">
      <c r="L52" s="51"/>
      <c r="M52" s="51"/>
      <c r="N52" s="51"/>
      <c r="O52" s="51"/>
      <c r="P52" s="51"/>
      <c r="Q52" s="51"/>
      <c r="R52" s="51"/>
    </row>
    <row r="53" spans="1:18" x14ac:dyDescent="0.35">
      <c r="L53" s="51"/>
      <c r="M53" s="51"/>
      <c r="N53" s="51"/>
      <c r="O53" s="51"/>
      <c r="P53" s="51"/>
      <c r="Q53" s="51"/>
      <c r="R53" s="51"/>
    </row>
    <row r="54" spans="1:18" x14ac:dyDescent="0.35">
      <c r="L54" s="51"/>
      <c r="M54" s="51"/>
      <c r="N54" s="51"/>
      <c r="O54" s="51"/>
      <c r="P54" s="51"/>
      <c r="Q54" s="51"/>
      <c r="R54" s="51"/>
    </row>
    <row r="55" spans="1:18" x14ac:dyDescent="0.35">
      <c r="L55" s="51"/>
      <c r="M55" s="51"/>
      <c r="N55" s="51"/>
      <c r="O55" s="51"/>
      <c r="P55" s="51"/>
      <c r="Q55" s="51"/>
      <c r="R55" s="51"/>
    </row>
    <row r="56" spans="1:18" x14ac:dyDescent="0.35">
      <c r="L56" s="51"/>
      <c r="M56" s="51"/>
      <c r="N56" s="51"/>
      <c r="O56" s="51"/>
      <c r="P56" s="51"/>
      <c r="Q56" s="51"/>
      <c r="R56" s="51"/>
    </row>
    <row r="57" spans="1:18" x14ac:dyDescent="0.35">
      <c r="L57" s="51"/>
      <c r="M57" s="51"/>
      <c r="N57" s="51"/>
      <c r="O57" s="51"/>
      <c r="P57" s="51"/>
      <c r="Q57" s="51"/>
      <c r="R57" s="51"/>
    </row>
    <row r="64" spans="1:18" ht="26" x14ac:dyDescent="0.6">
      <c r="A64" s="40" t="s">
        <v>139</v>
      </c>
    </row>
    <row r="83" spans="1:18" ht="26" x14ac:dyDescent="0.6">
      <c r="A83" s="40" t="s">
        <v>140</v>
      </c>
    </row>
    <row r="85" spans="1:18" x14ac:dyDescent="0.35">
      <c r="L85" s="52" t="s">
        <v>146</v>
      </c>
      <c r="M85" s="46"/>
      <c r="N85" s="46"/>
      <c r="O85" s="46"/>
      <c r="P85" s="46"/>
      <c r="Q85" s="46"/>
      <c r="R85" s="46"/>
    </row>
    <row r="86" spans="1:18" x14ac:dyDescent="0.35">
      <c r="L86" s="46"/>
      <c r="M86" s="46"/>
      <c r="N86" s="46"/>
      <c r="O86" s="46"/>
      <c r="P86" s="46"/>
      <c r="Q86" s="46"/>
      <c r="R86" s="46"/>
    </row>
    <row r="87" spans="1:18" x14ac:dyDescent="0.35">
      <c r="L87" s="46"/>
      <c r="M87" s="46"/>
      <c r="N87" s="46"/>
      <c r="O87" s="46"/>
      <c r="P87" s="46"/>
      <c r="Q87" s="46"/>
      <c r="R87" s="46"/>
    </row>
    <row r="88" spans="1:18" x14ac:dyDescent="0.35">
      <c r="L88" s="46"/>
      <c r="M88" s="46"/>
      <c r="N88" s="46"/>
      <c r="O88" s="46"/>
      <c r="P88" s="46"/>
      <c r="Q88" s="46"/>
      <c r="R88" s="46"/>
    </row>
    <row r="89" spans="1:18" x14ac:dyDescent="0.35">
      <c r="L89" s="46"/>
      <c r="M89" s="46"/>
      <c r="N89" s="46"/>
      <c r="O89" s="46"/>
      <c r="P89" s="46"/>
      <c r="Q89" s="46"/>
      <c r="R89" s="46"/>
    </row>
    <row r="90" spans="1:18" x14ac:dyDescent="0.35">
      <c r="L90" s="46"/>
      <c r="M90" s="46"/>
      <c r="N90" s="46"/>
      <c r="O90" s="46"/>
      <c r="P90" s="46"/>
      <c r="Q90" s="46"/>
      <c r="R90" s="46"/>
    </row>
    <row r="91" spans="1:18" x14ac:dyDescent="0.35">
      <c r="L91" s="46"/>
      <c r="M91" s="46"/>
      <c r="N91" s="46"/>
      <c r="O91" s="46"/>
      <c r="P91" s="46"/>
      <c r="Q91" s="46"/>
      <c r="R91" s="46"/>
    </row>
    <row r="92" spans="1:18" x14ac:dyDescent="0.35">
      <c r="L92" s="46"/>
      <c r="M92" s="46"/>
      <c r="N92" s="46"/>
      <c r="O92" s="46"/>
      <c r="P92" s="46"/>
      <c r="Q92" s="46"/>
      <c r="R92" s="46"/>
    </row>
    <row r="93" spans="1:18" x14ac:dyDescent="0.35">
      <c r="L93" s="46"/>
      <c r="M93" s="46"/>
      <c r="N93" s="46"/>
      <c r="O93" s="46"/>
      <c r="P93" s="46"/>
      <c r="Q93" s="46"/>
      <c r="R93" s="46"/>
    </row>
    <row r="94" spans="1:18" x14ac:dyDescent="0.35">
      <c r="L94" s="46"/>
      <c r="M94" s="46"/>
      <c r="N94" s="46"/>
      <c r="O94" s="46"/>
      <c r="P94" s="46"/>
      <c r="Q94" s="46"/>
      <c r="R94" s="46"/>
    </row>
    <row r="95" spans="1:18" x14ac:dyDescent="0.35">
      <c r="L95" s="46"/>
      <c r="M95" s="46"/>
      <c r="N95" s="46"/>
      <c r="O95" s="46"/>
      <c r="P95" s="46"/>
      <c r="Q95" s="46"/>
      <c r="R95" s="46"/>
    </row>
    <row r="96" spans="1:18" x14ac:dyDescent="0.35">
      <c r="L96" s="46"/>
      <c r="M96" s="46"/>
      <c r="N96" s="46"/>
      <c r="O96" s="46"/>
      <c r="P96" s="46"/>
      <c r="Q96" s="46"/>
      <c r="R96" s="46"/>
    </row>
    <row r="104" spans="1:1" ht="26" x14ac:dyDescent="0.6">
      <c r="A104" s="40" t="s">
        <v>141</v>
      </c>
    </row>
    <row r="125" spans="1:19" ht="26" x14ac:dyDescent="0.6">
      <c r="A125" s="40" t="s">
        <v>142</v>
      </c>
    </row>
    <row r="127" spans="1:19" x14ac:dyDescent="0.35">
      <c r="L127" s="53" t="s">
        <v>147</v>
      </c>
      <c r="M127" s="54"/>
      <c r="N127" s="54"/>
      <c r="O127" s="54"/>
      <c r="P127" s="54"/>
      <c r="Q127" s="54"/>
      <c r="R127" s="54"/>
      <c r="S127" s="54"/>
    </row>
    <row r="128" spans="1:19" x14ac:dyDescent="0.35">
      <c r="L128" s="54"/>
      <c r="M128" s="54"/>
      <c r="N128" s="54"/>
      <c r="O128" s="54"/>
      <c r="P128" s="54"/>
      <c r="Q128" s="54"/>
      <c r="R128" s="54"/>
      <c r="S128" s="54"/>
    </row>
    <row r="129" spans="12:19" x14ac:dyDescent="0.35">
      <c r="L129" s="54"/>
      <c r="M129" s="54"/>
      <c r="N129" s="54"/>
      <c r="O129" s="54"/>
      <c r="P129" s="54"/>
      <c r="Q129" s="54"/>
      <c r="R129" s="54"/>
      <c r="S129" s="54"/>
    </row>
    <row r="130" spans="12:19" x14ac:dyDescent="0.35">
      <c r="L130" s="54"/>
      <c r="M130" s="54"/>
      <c r="N130" s="54"/>
      <c r="O130" s="54"/>
      <c r="P130" s="54"/>
      <c r="Q130" s="54"/>
      <c r="R130" s="54"/>
      <c r="S130" s="54"/>
    </row>
    <row r="131" spans="12:19" x14ac:dyDescent="0.35">
      <c r="L131" s="54"/>
      <c r="M131" s="54"/>
      <c r="N131" s="54"/>
      <c r="O131" s="54"/>
      <c r="P131" s="54"/>
      <c r="Q131" s="54"/>
      <c r="R131" s="54"/>
      <c r="S131" s="54"/>
    </row>
    <row r="132" spans="12:19" x14ac:dyDescent="0.35">
      <c r="L132" s="54"/>
      <c r="M132" s="54"/>
      <c r="N132" s="54"/>
      <c r="O132" s="54"/>
      <c r="P132" s="54"/>
      <c r="Q132" s="54"/>
      <c r="R132" s="54"/>
      <c r="S132" s="54"/>
    </row>
    <row r="133" spans="12:19" x14ac:dyDescent="0.35">
      <c r="L133" s="54"/>
      <c r="M133" s="54"/>
      <c r="N133" s="54"/>
      <c r="O133" s="54"/>
      <c r="P133" s="54"/>
      <c r="Q133" s="54"/>
      <c r="R133" s="54"/>
      <c r="S133" s="54"/>
    </row>
    <row r="134" spans="12:19" x14ac:dyDescent="0.35">
      <c r="L134" s="54"/>
      <c r="M134" s="54"/>
      <c r="N134" s="54"/>
      <c r="O134" s="54"/>
      <c r="P134" s="54"/>
      <c r="Q134" s="54"/>
      <c r="R134" s="54"/>
      <c r="S134" s="54"/>
    </row>
    <row r="135" spans="12:19" x14ac:dyDescent="0.35">
      <c r="L135" s="54"/>
      <c r="M135" s="54"/>
      <c r="N135" s="54"/>
      <c r="O135" s="54"/>
      <c r="P135" s="54"/>
      <c r="Q135" s="54"/>
      <c r="R135" s="54"/>
      <c r="S135" s="54"/>
    </row>
    <row r="136" spans="12:19" x14ac:dyDescent="0.35">
      <c r="L136" s="54"/>
      <c r="M136" s="54"/>
      <c r="N136" s="54"/>
      <c r="O136" s="54"/>
      <c r="P136" s="54"/>
      <c r="Q136" s="54"/>
      <c r="R136" s="54"/>
      <c r="S136" s="54"/>
    </row>
    <row r="137" spans="12:19" x14ac:dyDescent="0.35">
      <c r="L137" s="54"/>
      <c r="M137" s="54"/>
      <c r="N137" s="54"/>
      <c r="O137" s="54"/>
      <c r="P137" s="54"/>
      <c r="Q137" s="54"/>
      <c r="R137" s="54"/>
      <c r="S137" s="54"/>
    </row>
    <row r="138" spans="12:19" x14ac:dyDescent="0.35">
      <c r="L138" s="54"/>
      <c r="M138" s="54"/>
      <c r="N138" s="54"/>
      <c r="O138" s="54"/>
      <c r="P138" s="54"/>
      <c r="Q138" s="54"/>
      <c r="R138" s="54"/>
      <c r="S138" s="54"/>
    </row>
    <row r="142" spans="12:19" x14ac:dyDescent="0.35">
      <c r="L142" s="55" t="s">
        <v>149</v>
      </c>
      <c r="M142" s="56"/>
      <c r="N142" s="56"/>
      <c r="O142" s="56"/>
      <c r="P142" s="56"/>
      <c r="Q142" s="56"/>
      <c r="R142" s="56"/>
      <c r="S142" s="56"/>
    </row>
    <row r="143" spans="12:19" x14ac:dyDescent="0.35">
      <c r="L143" s="56"/>
      <c r="M143" s="56"/>
      <c r="N143" s="56"/>
      <c r="O143" s="56"/>
      <c r="P143" s="56"/>
      <c r="Q143" s="56"/>
      <c r="R143" s="56"/>
      <c r="S143" s="56"/>
    </row>
    <row r="144" spans="12:19" x14ac:dyDescent="0.35">
      <c r="L144" s="56"/>
      <c r="M144" s="56"/>
      <c r="N144" s="56"/>
      <c r="O144" s="56"/>
      <c r="P144" s="56"/>
      <c r="Q144" s="56"/>
      <c r="R144" s="56"/>
      <c r="S144" s="56"/>
    </row>
    <row r="145" spans="12:19" x14ac:dyDescent="0.35">
      <c r="L145" s="56"/>
      <c r="M145" s="56"/>
      <c r="N145" s="56"/>
      <c r="O145" s="56"/>
      <c r="P145" s="56"/>
      <c r="Q145" s="56"/>
      <c r="R145" s="56"/>
      <c r="S145" s="56"/>
    </row>
    <row r="146" spans="12:19" x14ac:dyDescent="0.35">
      <c r="L146" s="56"/>
      <c r="M146" s="56"/>
      <c r="N146" s="56"/>
      <c r="O146" s="56"/>
      <c r="P146" s="56"/>
      <c r="Q146" s="56"/>
      <c r="R146" s="56"/>
      <c r="S146" s="56"/>
    </row>
    <row r="147" spans="12:19" x14ac:dyDescent="0.35">
      <c r="L147" s="56"/>
      <c r="M147" s="56"/>
      <c r="N147" s="56"/>
      <c r="O147" s="56"/>
      <c r="P147" s="56"/>
      <c r="Q147" s="56"/>
      <c r="R147" s="56"/>
      <c r="S147" s="56"/>
    </row>
    <row r="148" spans="12:19" x14ac:dyDescent="0.35">
      <c r="L148" s="56"/>
      <c r="M148" s="56"/>
      <c r="N148" s="56"/>
      <c r="O148" s="56"/>
      <c r="P148" s="56"/>
      <c r="Q148" s="56"/>
      <c r="R148" s="56"/>
      <c r="S148" s="56"/>
    </row>
    <row r="149" spans="12:19" x14ac:dyDescent="0.35">
      <c r="L149" s="56"/>
      <c r="M149" s="56"/>
      <c r="N149" s="56"/>
      <c r="O149" s="56"/>
      <c r="P149" s="56"/>
      <c r="Q149" s="56"/>
      <c r="R149" s="56"/>
      <c r="S149" s="56"/>
    </row>
  </sheetData>
  <mergeCells count="6">
    <mergeCell ref="L142:S149"/>
    <mergeCell ref="L3:R14"/>
    <mergeCell ref="L27:R38"/>
    <mergeCell ref="L46:R57"/>
    <mergeCell ref="L85:R96"/>
    <mergeCell ref="L127:S1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All_India_Index_Upto_April23 (1</vt:lpstr>
      <vt:lpstr>1. Problem Statement</vt:lpstr>
      <vt:lpstr>2. Problem Statement</vt:lpstr>
      <vt:lpstr>3. Problem Statement</vt:lpstr>
      <vt:lpstr>4. Problem Statement</vt:lpstr>
      <vt:lpstr>5. Problem Statement</vt:lpstr>
      <vt:lpstr>Summarization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LAZMI RAJPUT</dc:creator>
  <cp:lastModifiedBy>LAZMI RAJPUT</cp:lastModifiedBy>
  <dcterms:created xsi:type="dcterms:W3CDTF">2025-04-29T19:12:22Z</dcterms:created>
  <dcterms:modified xsi:type="dcterms:W3CDTF">2025-09-28T12:17:53Z</dcterms:modified>
</cp:coreProperties>
</file>